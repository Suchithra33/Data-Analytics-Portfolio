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esktop\CHITHRA\DataAnalytics\Excel\"/>
    </mc:Choice>
  </mc:AlternateContent>
  <xr:revisionPtr revIDLastSave="0" documentId="13_ncr:1_{C1B3DCE6-6E31-4916-A7BA-07A46F9427D4}" xr6:coauthVersionLast="47" xr6:coauthVersionMax="47" xr10:uidLastSave="{00000000-0000-0000-0000-000000000000}"/>
  <bookViews>
    <workbookView xWindow="-120" yWindow="-120" windowWidth="20640" windowHeight="11040" firstSheet="3" activeTab="5" xr2:uid="{FD7C000A-1271-41CA-A871-62891593C493}"/>
  </bookViews>
  <sheets>
    <sheet name="Excel_Data_Analytics_Dataset" sheetId="1" r:id="rId1"/>
    <sheet name=" Employee_Salary" sheetId="2" r:id="rId2"/>
    <sheet name="Answers" sheetId="3" r:id="rId3"/>
    <sheet name="PivotTableSectionG" sheetId="4" r:id="rId4"/>
    <sheet name="Section H – Charts" sheetId="5" r:id="rId5"/>
    <sheet name="Section I – Dashboard" sheetId="6" r:id="rId6"/>
    <sheet name="DashBoard" sheetId="7" r:id="rId7"/>
    <sheet name="5businessinsights" sheetId="8" r:id="rId8"/>
  </sheets>
  <definedNames>
    <definedName name="Slicer_Category">#N/A</definedName>
    <definedName name="Slicer_Product">#N/A</definedName>
    <definedName name="Slicer_Region">#N/A</definedName>
    <definedName name="Slicer_SalesPerson">#N/A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4" l="1"/>
  <c r="D72" i="3"/>
  <c r="D73" i="3"/>
  <c r="D74" i="3"/>
  <c r="D75" i="3"/>
  <c r="D71" i="3"/>
  <c r="C52" i="3"/>
  <c r="A7" i="3"/>
  <c r="G35" i="4"/>
  <c r="A11" i="4"/>
  <c r="F42" i="4"/>
  <c r="A10" i="4"/>
  <c r="B7" i="3"/>
  <c r="D52" i="3"/>
  <c r="A3" i="3"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B18" i="3"/>
  <c r="B16" i="3"/>
  <c r="B15" i="3"/>
  <c r="C82" i="3"/>
  <c r="D82" i="3" s="1"/>
  <c r="C81" i="3"/>
  <c r="C83" i="3"/>
  <c r="C80" i="3"/>
  <c r="D80" i="3" s="1"/>
  <c r="C71" i="3"/>
  <c r="C75" i="3"/>
  <c r="C74" i="3"/>
  <c r="C73" i="3"/>
  <c r="C72" i="3"/>
  <c r="J2" i="1"/>
  <c r="B63" i="3"/>
  <c r="B62" i="3"/>
  <c r="B61" i="3"/>
  <c r="B59" i="3"/>
  <c r="B58" i="3"/>
  <c r="B56" i="3"/>
  <c r="B55" i="3"/>
  <c r="B54" i="3"/>
  <c r="C3" i="2"/>
  <c r="C4" i="2"/>
  <c r="C5" i="2"/>
  <c r="C6" i="2"/>
  <c r="C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B42" i="3"/>
  <c r="B40" i="3"/>
  <c r="C63" i="3"/>
  <c r="C56" i="3"/>
  <c r="C55" i="3"/>
  <c r="C62" i="3"/>
  <c r="C54" i="3"/>
  <c r="C59" i="3"/>
  <c r="C40" i="3"/>
  <c r="C61" i="3"/>
  <c r="C42" i="3"/>
  <c r="C58" i="3"/>
  <c r="D81" i="3" l="1"/>
  <c r="D83" i="3"/>
  <c r="B20" i="3"/>
  <c r="D2" i="2"/>
  <c r="D4" i="2"/>
  <c r="D6" i="2"/>
  <c r="D5" i="2"/>
  <c r="D3" i="2"/>
  <c r="B27" i="3"/>
  <c r="B24" i="3"/>
  <c r="J3" i="1"/>
  <c r="K3" i="1" s="1"/>
  <c r="J4" i="1"/>
  <c r="K4" i="1" s="1"/>
  <c r="J5" i="1"/>
  <c r="K5" i="1" s="1"/>
  <c r="J6" i="1"/>
  <c r="J7" i="1"/>
  <c r="J8" i="1"/>
  <c r="J9" i="1"/>
  <c r="J10" i="1"/>
  <c r="J11" i="1"/>
  <c r="K11" i="1" s="1"/>
  <c r="J12" i="1"/>
  <c r="K12" i="1" s="1"/>
  <c r="J13" i="1"/>
  <c r="K13" i="1" s="1"/>
  <c r="J14" i="1"/>
  <c r="J15" i="1"/>
  <c r="J16" i="1"/>
  <c r="K16" i="1" s="1"/>
  <c r="J17" i="1"/>
  <c r="J18" i="1"/>
  <c r="J19" i="1"/>
  <c r="K19" i="1" s="1"/>
  <c r="J20" i="1"/>
  <c r="K20" i="1" s="1"/>
  <c r="J21" i="1"/>
  <c r="J22" i="1"/>
  <c r="J23" i="1"/>
  <c r="J24" i="1"/>
  <c r="J25" i="1"/>
  <c r="J26" i="1"/>
  <c r="J27" i="1"/>
  <c r="K27" i="1" s="1"/>
  <c r="J28" i="1"/>
  <c r="K28" i="1" s="1"/>
  <c r="J29" i="1"/>
  <c r="K29" i="1" s="1"/>
  <c r="J30" i="1"/>
  <c r="J31" i="1"/>
  <c r="J32" i="1"/>
  <c r="J33" i="1"/>
  <c r="J34" i="1"/>
  <c r="J35" i="1"/>
  <c r="K35" i="1" s="1"/>
  <c r="J36" i="1"/>
  <c r="K36" i="1" s="1"/>
  <c r="J37" i="1"/>
  <c r="K37" i="1" s="1"/>
  <c r="J38" i="1"/>
  <c r="J39" i="1"/>
  <c r="J40" i="1"/>
  <c r="J41" i="1"/>
  <c r="J42" i="1"/>
  <c r="J43" i="1"/>
  <c r="K43" i="1" s="1"/>
  <c r="J44" i="1"/>
  <c r="K44" i="1" s="1"/>
  <c r="J45" i="1"/>
  <c r="K45" i="1" s="1"/>
  <c r="J46" i="1"/>
  <c r="J47" i="1"/>
  <c r="J48" i="1"/>
  <c r="J49" i="1"/>
  <c r="J50" i="1"/>
  <c r="J51" i="1"/>
  <c r="K51" i="1" s="1"/>
  <c r="J52" i="1"/>
  <c r="K52" i="1" s="1"/>
  <c r="J53" i="1"/>
  <c r="K53" i="1" s="1"/>
  <c r="J54" i="1"/>
  <c r="J55" i="1"/>
  <c r="J56" i="1"/>
  <c r="J57" i="1"/>
  <c r="J58" i="1"/>
  <c r="J59" i="1"/>
  <c r="K59" i="1" s="1"/>
  <c r="J60" i="1"/>
  <c r="K60" i="1" s="1"/>
  <c r="J61" i="1"/>
  <c r="K61" i="1" s="1"/>
  <c r="J62" i="1"/>
  <c r="J63" i="1"/>
  <c r="J64" i="1"/>
  <c r="K64" i="1" s="1"/>
  <c r="J65" i="1"/>
  <c r="J66" i="1"/>
  <c r="J67" i="1"/>
  <c r="K67" i="1" s="1"/>
  <c r="J68" i="1"/>
  <c r="K68" i="1" s="1"/>
  <c r="J69" i="1"/>
  <c r="K69" i="1" s="1"/>
  <c r="J70" i="1"/>
  <c r="J71" i="1"/>
  <c r="J72" i="1"/>
  <c r="J73" i="1"/>
  <c r="J74" i="1"/>
  <c r="J75" i="1"/>
  <c r="K75" i="1" s="1"/>
  <c r="J76" i="1"/>
  <c r="K76" i="1" s="1"/>
  <c r="J77" i="1"/>
  <c r="K77" i="1" s="1"/>
  <c r="J78" i="1"/>
  <c r="J79" i="1"/>
  <c r="J80" i="1"/>
  <c r="K80" i="1" s="1"/>
  <c r="J81" i="1"/>
  <c r="J82" i="1"/>
  <c r="J83" i="1"/>
  <c r="K83" i="1" s="1"/>
  <c r="J84" i="1"/>
  <c r="K84" i="1" s="1"/>
  <c r="J85" i="1"/>
  <c r="K85" i="1" s="1"/>
  <c r="J86" i="1"/>
  <c r="J87" i="1"/>
  <c r="J88" i="1"/>
  <c r="J89" i="1"/>
  <c r="J90" i="1"/>
  <c r="J91" i="1"/>
  <c r="K91" i="1" s="1"/>
  <c r="J92" i="1"/>
  <c r="K92" i="1" s="1"/>
  <c r="J93" i="1"/>
  <c r="K93" i="1" s="1"/>
  <c r="J94" i="1"/>
  <c r="J95" i="1"/>
  <c r="J96" i="1"/>
  <c r="J97" i="1"/>
  <c r="J98" i="1"/>
  <c r="J99" i="1"/>
  <c r="K99" i="1" s="1"/>
  <c r="J100" i="1"/>
  <c r="K100" i="1" s="1"/>
  <c r="J101" i="1"/>
  <c r="K101" i="1" s="1"/>
  <c r="J102" i="1"/>
  <c r="J103" i="1"/>
  <c r="J104" i="1"/>
  <c r="J105" i="1"/>
  <c r="J106" i="1"/>
  <c r="J107" i="1"/>
  <c r="K107" i="1" s="1"/>
  <c r="J108" i="1"/>
  <c r="K108" i="1" s="1"/>
  <c r="J109" i="1"/>
  <c r="J110" i="1"/>
  <c r="J111" i="1"/>
  <c r="J112" i="1"/>
  <c r="J113" i="1"/>
  <c r="J114" i="1"/>
  <c r="J115" i="1"/>
  <c r="K115" i="1" s="1"/>
  <c r="J116" i="1"/>
  <c r="K116" i="1" s="1"/>
  <c r="J117" i="1"/>
  <c r="K117" i="1" s="1"/>
  <c r="J118" i="1"/>
  <c r="J119" i="1"/>
  <c r="J120" i="1"/>
  <c r="J121" i="1"/>
  <c r="J122" i="1"/>
  <c r="J123" i="1"/>
  <c r="K123" i="1" s="1"/>
  <c r="J124" i="1"/>
  <c r="K124" i="1" s="1"/>
  <c r="J125" i="1"/>
  <c r="K125" i="1" s="1"/>
  <c r="J126" i="1"/>
  <c r="J127" i="1"/>
  <c r="J128" i="1"/>
  <c r="K128" i="1" s="1"/>
  <c r="J129" i="1"/>
  <c r="J130" i="1"/>
  <c r="J131" i="1"/>
  <c r="K131" i="1" s="1"/>
  <c r="J132" i="1"/>
  <c r="K132" i="1" s="1"/>
  <c r="J133" i="1"/>
  <c r="J134" i="1"/>
  <c r="J135" i="1"/>
  <c r="J136" i="1"/>
  <c r="J137" i="1"/>
  <c r="J138" i="1"/>
  <c r="J139" i="1"/>
  <c r="K139" i="1" s="1"/>
  <c r="J140" i="1"/>
  <c r="K140" i="1" s="1"/>
  <c r="J141" i="1"/>
  <c r="J142" i="1"/>
  <c r="J143" i="1"/>
  <c r="J144" i="1"/>
  <c r="J145" i="1"/>
  <c r="J146" i="1"/>
  <c r="J147" i="1"/>
  <c r="K147" i="1" s="1"/>
  <c r="J148" i="1"/>
  <c r="K148" i="1" s="1"/>
  <c r="J149" i="1"/>
  <c r="K149" i="1" s="1"/>
  <c r="J150" i="1"/>
  <c r="J151" i="1"/>
  <c r="J152" i="1"/>
  <c r="J153" i="1"/>
  <c r="J154" i="1"/>
  <c r="J155" i="1"/>
  <c r="K155" i="1" s="1"/>
  <c r="J156" i="1"/>
  <c r="K156" i="1" s="1"/>
  <c r="J157" i="1"/>
  <c r="K157" i="1" s="1"/>
  <c r="J158" i="1"/>
  <c r="J159" i="1"/>
  <c r="J160" i="1"/>
  <c r="K160" i="1" s="1"/>
  <c r="J161" i="1"/>
  <c r="J162" i="1"/>
  <c r="J163" i="1"/>
  <c r="K163" i="1" s="1"/>
  <c r="J164" i="1"/>
  <c r="K164" i="1" s="1"/>
  <c r="J165" i="1"/>
  <c r="J166" i="1"/>
  <c r="J167" i="1"/>
  <c r="J168" i="1"/>
  <c r="J169" i="1"/>
  <c r="J170" i="1"/>
  <c r="J171" i="1"/>
  <c r="K171" i="1" s="1"/>
  <c r="J172" i="1"/>
  <c r="K172" i="1" s="1"/>
  <c r="J173" i="1"/>
  <c r="K173" i="1" s="1"/>
  <c r="J174" i="1"/>
  <c r="K174" i="1" s="1"/>
  <c r="J175" i="1"/>
  <c r="J176" i="1"/>
  <c r="K176" i="1" s="1"/>
  <c r="J177" i="1"/>
  <c r="J178" i="1"/>
  <c r="J179" i="1"/>
  <c r="K179" i="1" s="1"/>
  <c r="J180" i="1"/>
  <c r="J181" i="1"/>
  <c r="K181" i="1" s="1"/>
  <c r="J182" i="1"/>
  <c r="K182" i="1" s="1"/>
  <c r="J183" i="1"/>
  <c r="J184" i="1"/>
  <c r="J185" i="1"/>
  <c r="J186" i="1"/>
  <c r="J187" i="1"/>
  <c r="K187" i="1" s="1"/>
  <c r="J188" i="1"/>
  <c r="K188" i="1" s="1"/>
  <c r="J189" i="1"/>
  <c r="J190" i="1"/>
  <c r="K190" i="1" s="1"/>
  <c r="J191" i="1"/>
  <c r="J192" i="1"/>
  <c r="J193" i="1"/>
  <c r="K193" i="1" s="1"/>
  <c r="J194" i="1"/>
  <c r="J195" i="1"/>
  <c r="K195" i="1" s="1"/>
  <c r="J196" i="1"/>
  <c r="K196" i="1" s="1"/>
  <c r="J197" i="1"/>
  <c r="K197" i="1" s="1"/>
  <c r="J198" i="1"/>
  <c r="J199" i="1"/>
  <c r="J200" i="1"/>
  <c r="J201" i="1"/>
  <c r="B17" i="3" l="1"/>
  <c r="K133" i="1"/>
  <c r="K135" i="1"/>
  <c r="K191" i="1"/>
  <c r="K87" i="1"/>
  <c r="K175" i="1"/>
  <c r="K23" i="1"/>
  <c r="K21" i="1"/>
  <c r="K192" i="1"/>
  <c r="K165" i="1"/>
  <c r="K47" i="1"/>
  <c r="K180" i="1"/>
  <c r="K145" i="1"/>
  <c r="K72" i="1"/>
  <c r="K71" i="1"/>
  <c r="K111" i="1"/>
  <c r="K9" i="1"/>
  <c r="K184" i="1"/>
  <c r="K141" i="1"/>
  <c r="K109" i="1"/>
  <c r="K8" i="1"/>
  <c r="K73" i="1"/>
  <c r="K144" i="1"/>
  <c r="K112" i="1"/>
  <c r="K143" i="1"/>
  <c r="K183" i="1"/>
  <c r="K166" i="1"/>
  <c r="K48" i="1"/>
  <c r="K7" i="1"/>
  <c r="K2" i="1"/>
  <c r="K34" i="1"/>
  <c r="K201" i="1"/>
  <c r="K154" i="1"/>
  <c r="K122" i="1"/>
  <c r="K97" i="1"/>
  <c r="K58" i="1"/>
  <c r="K33" i="1"/>
  <c r="K200" i="1"/>
  <c r="K121" i="1"/>
  <c r="K96" i="1"/>
  <c r="K82" i="1"/>
  <c r="K57" i="1"/>
  <c r="K32" i="1"/>
  <c r="K18" i="1"/>
  <c r="K199" i="1"/>
  <c r="K162" i="1"/>
  <c r="K152" i="1"/>
  <c r="K130" i="1"/>
  <c r="K120" i="1"/>
  <c r="K106" i="1"/>
  <c r="K95" i="1"/>
  <c r="K81" i="1"/>
  <c r="K56" i="1"/>
  <c r="K42" i="1"/>
  <c r="K31" i="1"/>
  <c r="K17" i="1"/>
  <c r="K158" i="1"/>
  <c r="K150" i="1"/>
  <c r="K134" i="1"/>
  <c r="K126" i="1"/>
  <c r="K118" i="1"/>
  <c r="K110" i="1"/>
  <c r="K94" i="1"/>
  <c r="K86" i="1"/>
  <c r="K78" i="1"/>
  <c r="K70" i="1"/>
  <c r="K62" i="1"/>
  <c r="K54" i="1"/>
  <c r="K46" i="1"/>
  <c r="K38" i="1"/>
  <c r="K30" i="1"/>
  <c r="K22" i="1"/>
  <c r="K6" i="1"/>
  <c r="K198" i="1"/>
  <c r="K189" i="1"/>
  <c r="K170" i="1"/>
  <c r="K161" i="1"/>
  <c r="K151" i="1"/>
  <c r="K129" i="1"/>
  <c r="K119" i="1"/>
  <c r="K105" i="1"/>
  <c r="K66" i="1"/>
  <c r="K55" i="1"/>
  <c r="K41" i="1"/>
  <c r="K98" i="1"/>
  <c r="K153" i="1"/>
  <c r="K142" i="1"/>
  <c r="K102" i="1"/>
  <c r="K14" i="1"/>
  <c r="K178" i="1"/>
  <c r="K169" i="1"/>
  <c r="K138" i="1"/>
  <c r="K104" i="1"/>
  <c r="K90" i="1"/>
  <c r="K79" i="1"/>
  <c r="K65" i="1"/>
  <c r="K40" i="1"/>
  <c r="K26" i="1"/>
  <c r="K15" i="1"/>
  <c r="K186" i="1"/>
  <c r="K177" i="1"/>
  <c r="K168" i="1"/>
  <c r="K159" i="1"/>
  <c r="K137" i="1"/>
  <c r="K127" i="1"/>
  <c r="K114" i="1"/>
  <c r="K103" i="1"/>
  <c r="K89" i="1"/>
  <c r="K50" i="1"/>
  <c r="K39" i="1"/>
  <c r="K25" i="1"/>
  <c r="K194" i="1"/>
  <c r="K185" i="1"/>
  <c r="K167" i="1"/>
  <c r="K146" i="1"/>
  <c r="K136" i="1"/>
  <c r="K113" i="1"/>
  <c r="K88" i="1"/>
  <c r="K74" i="1"/>
  <c r="K63" i="1"/>
  <c r="K49" i="1"/>
  <c r="K24" i="1"/>
  <c r="K10" i="1"/>
  <c r="C35" i="3" l="1"/>
  <c r="N186" i="1"/>
  <c r="N122" i="1"/>
  <c r="N58" i="1"/>
  <c r="N193" i="1"/>
  <c r="N129" i="1"/>
  <c r="N65" i="1"/>
  <c r="C44" i="3"/>
  <c r="N144" i="1"/>
  <c r="N80" i="1"/>
  <c r="N16" i="1"/>
  <c r="N159" i="1"/>
  <c r="N95" i="1"/>
  <c r="N31" i="1"/>
  <c r="N166" i="1"/>
  <c r="N102" i="1"/>
  <c r="N38" i="1"/>
  <c r="N173" i="1"/>
  <c r="N109" i="1"/>
  <c r="N45" i="1"/>
  <c r="N180" i="1"/>
  <c r="N116" i="1"/>
  <c r="N52" i="1"/>
  <c r="N187" i="1"/>
  <c r="N123" i="1"/>
  <c r="N59" i="1"/>
  <c r="N178" i="1"/>
  <c r="N114" i="1"/>
  <c r="N50" i="1"/>
  <c r="N185" i="1"/>
  <c r="N121" i="1"/>
  <c r="N57" i="1"/>
  <c r="N200" i="1"/>
  <c r="N136" i="1"/>
  <c r="N72" i="1"/>
  <c r="N7" i="1"/>
  <c r="N151" i="1"/>
  <c r="N87" i="1"/>
  <c r="N23" i="1"/>
  <c r="N158" i="1"/>
  <c r="N94" i="1"/>
  <c r="N30" i="1"/>
  <c r="N165" i="1"/>
  <c r="N101" i="1"/>
  <c r="N37" i="1"/>
  <c r="N172" i="1"/>
  <c r="N108" i="1"/>
  <c r="N44" i="1"/>
  <c r="N179" i="1"/>
  <c r="N115" i="1"/>
  <c r="N51" i="1"/>
  <c r="N170" i="1"/>
  <c r="N106" i="1"/>
  <c r="N42" i="1"/>
  <c r="N177" i="1"/>
  <c r="N113" i="1"/>
  <c r="N49" i="1"/>
  <c r="N192" i="1"/>
  <c r="N128" i="1"/>
  <c r="N64" i="1"/>
  <c r="M2" i="1"/>
  <c r="N143" i="1"/>
  <c r="N79" i="1"/>
  <c r="N15" i="1"/>
  <c r="N150" i="1"/>
  <c r="N86" i="1"/>
  <c r="N22" i="1"/>
  <c r="N157" i="1"/>
  <c r="N93" i="1"/>
  <c r="N29" i="1"/>
  <c r="N164" i="1"/>
  <c r="N100" i="1"/>
  <c r="N36" i="1"/>
  <c r="N171" i="1"/>
  <c r="N107" i="1"/>
  <c r="N43" i="1"/>
  <c r="B31" i="3"/>
  <c r="N162" i="1"/>
  <c r="N98" i="1"/>
  <c r="N34" i="1"/>
  <c r="N169" i="1"/>
  <c r="N105" i="1"/>
  <c r="N41" i="1"/>
  <c r="N184" i="1"/>
  <c r="N120" i="1"/>
  <c r="N56" i="1"/>
  <c r="N199" i="1"/>
  <c r="N135" i="1"/>
  <c r="N71" i="1"/>
  <c r="N6" i="1"/>
  <c r="N142" i="1"/>
  <c r="N78" i="1"/>
  <c r="N14" i="1"/>
  <c r="N149" i="1"/>
  <c r="N85" i="1"/>
  <c r="N21" i="1"/>
  <c r="N156" i="1"/>
  <c r="N92" i="1"/>
  <c r="N28" i="1"/>
  <c r="N163" i="1"/>
  <c r="N99" i="1"/>
  <c r="N35" i="1"/>
  <c r="B30" i="3"/>
  <c r="N154" i="1"/>
  <c r="N90" i="1"/>
  <c r="N26" i="1"/>
  <c r="N161" i="1"/>
  <c r="N97" i="1"/>
  <c r="N33" i="1"/>
  <c r="N176" i="1"/>
  <c r="N112" i="1"/>
  <c r="N48" i="1"/>
  <c r="N191" i="1"/>
  <c r="N127" i="1"/>
  <c r="N63" i="1"/>
  <c r="N198" i="1"/>
  <c r="N134" i="1"/>
  <c r="N70" i="1"/>
  <c r="N5" i="1"/>
  <c r="N141" i="1"/>
  <c r="N77" i="1"/>
  <c r="N13" i="1"/>
  <c r="N148" i="1"/>
  <c r="N84" i="1"/>
  <c r="N20" i="1"/>
  <c r="N155" i="1"/>
  <c r="N91" i="1"/>
  <c r="N27" i="1"/>
  <c r="B29" i="3"/>
  <c r="N146" i="1"/>
  <c r="N82" i="1"/>
  <c r="N18" i="1"/>
  <c r="N153" i="1"/>
  <c r="N89" i="1"/>
  <c r="N25" i="1"/>
  <c r="N168" i="1"/>
  <c r="N104" i="1"/>
  <c r="N40" i="1"/>
  <c r="N183" i="1"/>
  <c r="N119" i="1"/>
  <c r="N55" i="1"/>
  <c r="N190" i="1"/>
  <c r="N126" i="1"/>
  <c r="N62" i="1"/>
  <c r="N197" i="1"/>
  <c r="N133" i="1"/>
  <c r="N69" i="1"/>
  <c r="N4" i="1"/>
  <c r="N140" i="1"/>
  <c r="N76" i="1"/>
  <c r="N11" i="1"/>
  <c r="N147" i="1"/>
  <c r="N83" i="1"/>
  <c r="N19" i="1"/>
  <c r="N2" i="1"/>
  <c r="N138" i="1"/>
  <c r="N74" i="1"/>
  <c r="N9" i="1"/>
  <c r="N145" i="1"/>
  <c r="N81" i="1"/>
  <c r="N17" i="1"/>
  <c r="N160" i="1"/>
  <c r="N96" i="1"/>
  <c r="N32" i="1"/>
  <c r="N175" i="1"/>
  <c r="N111" i="1"/>
  <c r="N47" i="1"/>
  <c r="N182" i="1"/>
  <c r="N118" i="1"/>
  <c r="N54" i="1"/>
  <c r="N189" i="1"/>
  <c r="N125" i="1"/>
  <c r="N61" i="1"/>
  <c r="N196" i="1"/>
  <c r="N132" i="1"/>
  <c r="N68" i="1"/>
  <c r="N3" i="1"/>
  <c r="N139" i="1"/>
  <c r="N75" i="1"/>
  <c r="N10" i="1"/>
  <c r="N194" i="1"/>
  <c r="N130" i="1"/>
  <c r="N66" i="1"/>
  <c r="N201" i="1"/>
  <c r="N137" i="1"/>
  <c r="N73" i="1"/>
  <c r="N8" i="1"/>
  <c r="N152" i="1"/>
  <c r="N88" i="1"/>
  <c r="N24" i="1"/>
  <c r="N167" i="1"/>
  <c r="N103" i="1"/>
  <c r="N39" i="1"/>
  <c r="N174" i="1"/>
  <c r="N110" i="1"/>
  <c r="N46" i="1"/>
  <c r="N181" i="1"/>
  <c r="N117" i="1"/>
  <c r="N53" i="1"/>
  <c r="N188" i="1"/>
  <c r="N124" i="1"/>
  <c r="N60" i="1"/>
  <c r="N195" i="1"/>
  <c r="N131" i="1"/>
  <c r="N67" i="1"/>
  <c r="N12" i="1"/>
</calcChain>
</file>

<file path=xl/sharedStrings.xml><?xml version="1.0" encoding="utf-8"?>
<sst xmlns="http://schemas.openxmlformats.org/spreadsheetml/2006/main" count="1617" uniqueCount="406">
  <si>
    <t>OrderID</t>
  </si>
  <si>
    <t>OrderDate</t>
  </si>
  <si>
    <t>Region</t>
  </si>
  <si>
    <t>Category</t>
  </si>
  <si>
    <t>Product</t>
  </si>
  <si>
    <t>CustomerName</t>
  </si>
  <si>
    <t>SalesPerson</t>
  </si>
  <si>
    <t>Sales</t>
  </si>
  <si>
    <t>Cost</t>
  </si>
  <si>
    <t>West</t>
  </si>
  <si>
    <t>Furniture</t>
  </si>
  <si>
    <t>Table</t>
  </si>
  <si>
    <t>Customer_16</t>
  </si>
  <si>
    <t>Sneha</t>
  </si>
  <si>
    <t>North</t>
  </si>
  <si>
    <t>Desk</t>
  </si>
  <si>
    <t>Customer_19</t>
  </si>
  <si>
    <t>South</t>
  </si>
  <si>
    <t>Electronics</t>
  </si>
  <si>
    <t>Mobile</t>
  </si>
  <si>
    <t>Customer_45</t>
  </si>
  <si>
    <t>Chair</t>
  </si>
  <si>
    <t>Customer_30</t>
  </si>
  <si>
    <t>Farhan</t>
  </si>
  <si>
    <t>Customer_40</t>
  </si>
  <si>
    <t>Customer_34</t>
  </si>
  <si>
    <t>Laptop</t>
  </si>
  <si>
    <t>Customer_14</t>
  </si>
  <si>
    <t>Aisha</t>
  </si>
  <si>
    <t>Headphones</t>
  </si>
  <si>
    <t>Customer_1</t>
  </si>
  <si>
    <t>Customer_49</t>
  </si>
  <si>
    <t>Tablet</t>
  </si>
  <si>
    <t>Rahul</t>
  </si>
  <si>
    <t>Customer_39</t>
  </si>
  <si>
    <t>Nikhil</t>
  </si>
  <si>
    <t>Customer_23</t>
  </si>
  <si>
    <t>East</t>
  </si>
  <si>
    <t>Customer_38</t>
  </si>
  <si>
    <t>Customer_5</t>
  </si>
  <si>
    <t>Customer_4</t>
  </si>
  <si>
    <t>Customer_10</t>
  </si>
  <si>
    <t>Cupboard</t>
  </si>
  <si>
    <t>Customer_22</t>
  </si>
  <si>
    <t>Customer_25</t>
  </si>
  <si>
    <t>Customer_31</t>
  </si>
  <si>
    <t>Customer_3</t>
  </si>
  <si>
    <t>Customer_8</t>
  </si>
  <si>
    <t>Customer_18</t>
  </si>
  <si>
    <t>Customer_12</t>
  </si>
  <si>
    <t>Customer_13</t>
  </si>
  <si>
    <t>Customer_15</t>
  </si>
  <si>
    <t>Customer_32</t>
  </si>
  <si>
    <t>Customer_28</t>
  </si>
  <si>
    <t>Customer_37</t>
  </si>
  <si>
    <t>Customer_50</t>
  </si>
  <si>
    <t>Customer_46</t>
  </si>
  <si>
    <t>Customer_9</t>
  </si>
  <si>
    <t>Customer_21</t>
  </si>
  <si>
    <t>Customer_7</t>
  </si>
  <si>
    <t>Customer_6</t>
  </si>
  <si>
    <t>Customer_47</t>
  </si>
  <si>
    <t>Customer_27</t>
  </si>
  <si>
    <t>Customer_44</t>
  </si>
  <si>
    <t>Customer_24</t>
  </si>
  <si>
    <t>Customer_2</t>
  </si>
  <si>
    <t>Customer_29</t>
  </si>
  <si>
    <t>Customer_11</t>
  </si>
  <si>
    <t>Customer_26</t>
  </si>
  <si>
    <t>Customer_43</t>
  </si>
  <si>
    <t>Customer_17</t>
  </si>
  <si>
    <t>Customer_20</t>
  </si>
  <si>
    <t>Customer_42</t>
  </si>
  <si>
    <t>Customer_48</t>
  </si>
  <si>
    <t>Customer_35</t>
  </si>
  <si>
    <t>Customer_33</t>
  </si>
  <si>
    <t>Customer_36</t>
  </si>
  <si>
    <t>Customer_41</t>
  </si>
  <si>
    <t>Name</t>
  </si>
  <si>
    <t>Salary</t>
  </si>
  <si>
    <t>Profit</t>
  </si>
  <si>
    <t>Profit %</t>
  </si>
  <si>
    <t>Orders from North Region</t>
  </si>
  <si>
    <t>Electronics category orders</t>
  </si>
  <si>
    <t>8.Average Sales per Order</t>
  </si>
  <si>
    <t>Section C – Functions Practice</t>
  </si>
  <si>
    <t>9.Count orders from North region.</t>
  </si>
  <si>
    <t>10.Count Electronics category orders.</t>
  </si>
  <si>
    <t>Average sales per Order</t>
  </si>
  <si>
    <t>11.Find Maximum, Minimum, and Average sales.</t>
  </si>
  <si>
    <t>Maximum Sales</t>
  </si>
  <si>
    <t>Minimum Sales</t>
  </si>
  <si>
    <t>Average Sales</t>
  </si>
  <si>
    <t>12.Use IF/IFS:</t>
  </si>
  <si>
    <t xml:space="preserve">• Profit &gt; 15000 → Excellent </t>
  </si>
  <si>
    <t>• 5000–15000 → Good • Else → Poor</t>
  </si>
  <si>
    <t xml:space="preserve">        Performance                                                                                              </t>
  </si>
  <si>
    <t>Section D – Lookup &amp; Logical</t>
  </si>
  <si>
    <t>13.Fetch Salary from Employee_Salary sheet using VLOOKUP/XLOOKUP.</t>
  </si>
  <si>
    <t>VLOOKUP</t>
  </si>
  <si>
    <t>14. Salary-to-Sales Ratio</t>
  </si>
  <si>
    <t>salary to sales ratio</t>
  </si>
  <si>
    <t>15.Calculate Commission:</t>
  </si>
  <si>
    <t>Electronics → 5% • Furniture→ 8%</t>
  </si>
  <si>
    <t>commision</t>
  </si>
  <si>
    <t>16. Rank SalesPerson Based on Total Sales</t>
  </si>
  <si>
    <t>Rank</t>
  </si>
  <si>
    <t>Total Sales</t>
  </si>
  <si>
    <t>Section E – Advanced Formulas</t>
  </si>
  <si>
    <t>17.Create Running Total (Cumulative Sales) by date</t>
  </si>
  <si>
    <t>Running Total</t>
  </si>
  <si>
    <t>Cumulative Sales</t>
  </si>
  <si>
    <t>18.Find Unique Customer count.</t>
  </si>
  <si>
    <t>Unique Customer count</t>
  </si>
  <si>
    <t>19.Identify Top 3 sales orders.</t>
  </si>
  <si>
    <t>20.Identify Bottom 2 sales orders.</t>
  </si>
  <si>
    <t>smallest</t>
  </si>
  <si>
    <t>Second Smallest</t>
  </si>
  <si>
    <t>21.Use SUMIFS to calculate:</t>
  </si>
  <si>
    <t>Electronics sales in North region</t>
  </si>
  <si>
    <t>Furniture sales in South region</t>
  </si>
  <si>
    <t>Sales for a selected SalesPerson</t>
  </si>
  <si>
    <t>Section F – Analysis Tasks</t>
  </si>
  <si>
    <t>22.Highlight orders with negative profit using Conditional Formatting</t>
  </si>
  <si>
    <t>or we can use conditional formating top 3</t>
  </si>
  <si>
    <t>or we can use conditional formating bottom 2</t>
  </si>
  <si>
    <t>There is no negative profit</t>
  </si>
  <si>
    <t xml:space="preserve">23.Find: </t>
  </si>
  <si>
    <t>• Best performing SalesPerson</t>
  </si>
  <si>
    <t>sales person</t>
  </si>
  <si>
    <t>sales</t>
  </si>
  <si>
    <t>Aisha is the best performing person</t>
  </si>
  <si>
    <t>• Top Product by revenue</t>
  </si>
  <si>
    <t>Revenue</t>
  </si>
  <si>
    <t>Phone</t>
  </si>
  <si>
    <t>Top product by revenue is Desk</t>
  </si>
  <si>
    <t>we can also use pivot table to find out</t>
  </si>
  <si>
    <t>• Lowest sales day</t>
  </si>
  <si>
    <t>Row Labels</t>
  </si>
  <si>
    <t>Grand Total</t>
  </si>
  <si>
    <t>Sum of Sales</t>
  </si>
  <si>
    <t>lowest sales day is 01-06-2025</t>
  </si>
  <si>
    <t>Sum of Profit</t>
  </si>
  <si>
    <t>Jan</t>
  </si>
  <si>
    <t>Feb</t>
  </si>
  <si>
    <t>Mar</t>
  </si>
  <si>
    <t>Apr</t>
  </si>
  <si>
    <t>May</t>
  </si>
  <si>
    <t>Jun</t>
  </si>
  <si>
    <t>Jul</t>
  </si>
  <si>
    <t>Section B – Basic Calculations</t>
  </si>
  <si>
    <t>7.Calculate:</t>
  </si>
  <si>
    <t>• Total Sales</t>
  </si>
  <si>
    <t>• Total Cost</t>
  </si>
  <si>
    <t>• Total Profit</t>
  </si>
  <si>
    <t>• Total Orders</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</si>
  <si>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</si>
  <si>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</si>
  <si>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</si>
  <si>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</si>
  <si>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</si>
  <si>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</si>
  <si>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</si>
  <si>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</si>
  <si>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</si>
  <si>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</si>
  <si>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</si>
  <si>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</si>
  <si>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</si>
  <si>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</si>
  <si>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</si>
  <si>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</si>
  <si>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</si>
  <si>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</si>
  <si>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</si>
  <si>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</si>
  <si>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</si>
  <si>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</si>
  <si>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</si>
  <si>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</si>
  <si>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</si>
  <si>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</si>
  <si>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</si>
  <si>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</si>
  <si>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</si>
  <si>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</si>
  <si>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</si>
  <si>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</si>
  <si>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</si>
  <si>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</si>
  <si>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</si>
  <si>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</si>
  <si>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</si>
  <si>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</si>
  <si>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</si>
  <si>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</si>
  <si>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</si>
  <si>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</si>
  <si>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</si>
  <si>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</si>
  <si>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</si>
  <si>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</si>
  <si>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</si>
  <si>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</si>
  <si>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</si>
  <si>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</si>
  <si>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</si>
  <si>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</si>
  <si>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</si>
  <si>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</si>
  <si>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</si>
  <si>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</si>
  <si>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</si>
  <si>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</si>
  <si>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</si>
  <si>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</si>
  <si>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</si>
  <si>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</si>
  <si>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</si>
  <si>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</si>
  <si>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</si>
  <si>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</si>
  <si>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</si>
  <si>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</si>
  <si>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</si>
  <si>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</si>
  <si>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</si>
  <si>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</si>
  <si>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</si>
  <si>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</si>
  <si>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</si>
  <si>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</si>
  <si>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</si>
  <si>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</si>
  <si>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</si>
  <si>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</si>
  <si>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</si>
  <si>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</si>
  <si>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</si>
  <si>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</si>
  <si>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</si>
  <si>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</si>
  <si>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</si>
  <si>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</si>
  <si>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</si>
  <si>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</si>
  <si>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</si>
  <si>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</si>
  <si>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</si>
  <si>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</si>
  <si>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</si>
  <si>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</si>
  <si>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</si>
  <si>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</si>
  <si>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</si>
  <si>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</si>
  <si>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</si>
  <si>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</si>
  <si>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</si>
  <si>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</si>
  <si>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</si>
  <si>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</si>
  <si>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</si>
  <si>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</si>
  <si>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</si>
  <si>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</si>
  <si>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</si>
  <si>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</si>
  <si>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</si>
  <si>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</si>
  <si>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</si>
  <si>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</si>
  <si>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</si>
  <si>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</si>
  <si>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</si>
  <si>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</si>
  <si>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</si>
  <si>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</si>
  <si>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</si>
  <si>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</si>
  <si>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</si>
  <si>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</si>
  <si>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</si>
  <si>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</si>
  <si>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</si>
  <si>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</si>
  <si>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</si>
  <si>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</si>
  <si>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</si>
  <si>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</si>
  <si>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</si>
  <si>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</si>
  <si>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</si>
  <si>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</si>
  <si>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</si>
  <si>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</si>
  <si>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</si>
  <si>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</si>
  <si>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</si>
  <si>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</si>
  <si>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</si>
  <si>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</si>
  <si>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</si>
  <si>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</si>
  <si>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</si>
  <si>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</si>
  <si>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</si>
  <si>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</si>
  <si>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</si>
  <si>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</si>
  <si>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</si>
  <si>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</si>
  <si>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</si>
  <si>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</si>
  <si>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</si>
  <si>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</si>
  <si>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</si>
  <si>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</si>
  <si>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</si>
  <si>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</si>
  <si>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</si>
  <si>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</si>
  <si>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</si>
  <si>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</si>
  <si>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</si>
  <si>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</si>
  <si>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</si>
  <si>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</si>
  <si>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</si>
  <si>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</si>
  <si>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</si>
  <si>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</si>
  <si>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</si>
  <si>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</si>
  <si>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</si>
  <si>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</si>
  <si>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</si>
  <si>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</si>
  <si>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</si>
  <si>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</si>
  <si>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</si>
  <si>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</si>
  <si>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</si>
  <si>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</si>
  <si>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</si>
  <si>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</si>
  <si>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</si>
  <si>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</si>
  <si>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</si>
  <si>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</si>
  <si>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</si>
  <si>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</si>
  <si>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</si>
  <si>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</si>
  <si>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</si>
  <si>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</si>
  <si>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28.Show % of Grand Total in Pivot.</t>
  </si>
  <si>
    <t>24. Region/Sales</t>
  </si>
  <si>
    <t>25.Product/Profit</t>
  </si>
  <si>
    <t>26.SalesPerson/Sales</t>
  </si>
  <si>
    <t>27.Monthly Sales summary</t>
  </si>
  <si>
    <t>29.Column chart → Region vs Sales.</t>
  </si>
  <si>
    <t>30.Pie chart → Category share.</t>
  </si>
  <si>
    <t>Category/Sales</t>
  </si>
  <si>
    <t>31.Line chart → Daily sales trend.</t>
  </si>
  <si>
    <t>Line chart → Daily sales trend.</t>
  </si>
  <si>
    <t>Section A – Data Cleaning</t>
  </si>
  <si>
    <t>1.Format OrderDate as Date format.</t>
  </si>
  <si>
    <t>Date format ok</t>
  </si>
  <si>
    <t>2.Remove duplicate records (if any).</t>
  </si>
  <si>
    <t>Click anywhere inside your data range. Go to the Data tab -&gt; Data Tools group-&gt; Click Remove Duplicates. Ensure all column checkboxes are selected and click OK.</t>
  </si>
  <si>
    <t>3.Remove extra spaces in text fields.</t>
  </si>
  <si>
    <t>4.Convert the dataset into an Excel Table (Ctrl + T).</t>
  </si>
  <si>
    <t>Done</t>
  </si>
  <si>
    <t>Done in dataset</t>
  </si>
  <si>
    <t>32.Bar chart → SalesPerson ranking.</t>
  </si>
  <si>
    <t>Sum of Rank</t>
  </si>
  <si>
    <t>Sales person Rank</t>
  </si>
  <si>
    <t>Month Sales</t>
  </si>
  <si>
    <t>Product Profit</t>
  </si>
  <si>
    <t>Column1</t>
  </si>
  <si>
    <t>Column2</t>
  </si>
  <si>
    <t>Sum of Column2</t>
  </si>
  <si>
    <t xml:space="preserve">Total </t>
  </si>
  <si>
    <t>Count of OrderID</t>
  </si>
  <si>
    <t xml:space="preserve"> </t>
  </si>
  <si>
    <t>1. West Region has the highest sales.</t>
  </si>
  <si>
    <t>The West region performs better than the other regions.</t>
  </si>
  <si>
    <r>
      <t>Suggestion:</t>
    </r>
    <r>
      <rPr>
        <sz val="11"/>
        <color theme="1"/>
        <rFont val="Aptos Narrow"/>
        <family val="2"/>
        <scheme val="minor"/>
      </rPr>
      <t xml:space="preserve"> Use the same sales methods in other regions.</t>
    </r>
  </si>
  <si>
    <t>2. Aisha is the best salesperson.</t>
  </si>
  <si>
    <t>She has achieved the highest sales.</t>
  </si>
  <si>
    <r>
      <t>Suggestion:</t>
    </r>
    <r>
      <rPr>
        <sz val="11"/>
        <color theme="1"/>
        <rFont val="Aptos Narrow"/>
        <family val="2"/>
        <scheme val="minor"/>
      </rPr>
      <t xml:space="preserve"> Reward her and learn from her sales techniques.</t>
    </r>
  </si>
  <si>
    <t>3. Electronics and Furniture sell almost equally.</t>
  </si>
  <si>
    <t>Both categories contribute nearly the same amount of sales.</t>
  </si>
  <si>
    <r>
      <t>Suggestion:</t>
    </r>
    <r>
      <rPr>
        <sz val="11"/>
        <color theme="1"/>
        <rFont val="Aptos Narrow"/>
        <family val="2"/>
        <scheme val="minor"/>
      </rPr>
      <t xml:space="preserve"> Continue focusing on both product categories.</t>
    </r>
  </si>
  <si>
    <t>4. Sales were highest in May.</t>
  </si>
  <si>
    <t>Sales increased until May and then started to decrease.</t>
  </si>
  <si>
    <r>
      <t>Suggestion:</t>
    </r>
    <r>
      <rPr>
        <sz val="11"/>
        <color theme="1"/>
        <rFont val="Aptos Narrow"/>
        <family val="2"/>
        <scheme val="minor"/>
      </rPr>
      <t xml:space="preserve"> Run special offers during low-sales months.</t>
    </r>
  </si>
  <si>
    <t>5. Desk is the most profitable product.</t>
  </si>
  <si>
    <t>Desk products bring the highest profit to the company.</t>
  </si>
  <si>
    <r>
      <t>Suggestion:</t>
    </r>
    <r>
      <rPr>
        <sz val="11"/>
        <color theme="1"/>
        <rFont val="Aptos Narrow"/>
        <family val="2"/>
        <scheme val="minor"/>
      </rPr>
      <t xml:space="preserve"> Promote and stock more Desk products.</t>
    </r>
  </si>
  <si>
    <t>Conclusion</t>
  </si>
  <si>
    <t>Write 5 business insights from your dashboard (performance, trends, and recommendations).</t>
  </si>
  <si>
    <t>The company is performing well, especially in the West region.  in lower-performing months and regions.</t>
  </si>
  <si>
    <t>Aisha is the top salesperson, and Desk is the most profitable product. The company should focus on increasing sales</t>
  </si>
  <si>
    <t>in lower-performing months and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</si>
</sst>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00_ ;_-[$$-409]* \-#,##0.00\ ;_-[$$-409]* &quot;-&quot;??_ ;_-@_ "/>
    <numFmt numFmtId="169" formatCode="[$$-409]#,##0.00_ ;\-[$$-409]#,##0.00\ "/>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4"/>
      <color theme="1"/>
      <name val="Aptos Narrow"/>
      <family val="2"/>
      <scheme val="minor"/>
    </font>
    <font>
      <b/>
      <sz val="16"/>
      <color theme="1"/>
      <name val="Aptos Narrow"/>
      <family val="2"/>
      <scheme val="minor"/>
    </font>
    <font>
      <sz val="14"/>
      <color theme="1"/>
      <name val="Aptos Narrow"/>
      <family val="2"/>
      <scheme val="minor"/>
    </font>
    <font>
      <b/>
      <sz val="13.5"/>
      <color theme="1"/>
      <name val="Aptos Narrow"/>
      <family val="2"/>
      <scheme val="minor"/>
    </font>
    <font>
      <b/>
      <sz val="14"/>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3" tint="0.499984740745262"/>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5">
    <xf numFmtId="0" fontId="0" fillId="0" borderId="0" xfId="0"/>
    <xf numFmtId="0" fontId="18" fillId="0" borderId="0" xfId="0" applyFont="1"/>
    <xf numFmtId="9" fontId="0" fillId="0" borderId="0" xfId="42" applyFont="1"/>
    <xf numFmtId="0" fontId="0" fillId="34" borderId="0" xfId="0" applyFill="1"/>
    <xf numFmtId="0" fontId="14" fillId="0" borderId="0" xfId="0" applyFont="1"/>
    <xf numFmtId="0" fontId="18" fillId="35" borderId="0" xfId="0" applyFont="1" applyFill="1"/>
    <xf numFmtId="0" fontId="0" fillId="35" borderId="0" xfId="0" applyFill="1"/>
    <xf numFmtId="0" fontId="0" fillId="0" borderId="0" xfId="0" applyAlignment="1">
      <alignment vertical="center" wrapText="1"/>
    </xf>
    <xf numFmtId="0" fontId="0" fillId="35" borderId="0" xfId="0" applyFill="1" applyAlignment="1">
      <alignment vertical="center" wrapText="1"/>
    </xf>
    <xf numFmtId="0" fontId="0" fillId="0" borderId="0" xfId="0" pivotButton="1"/>
    <xf numFmtId="0" fontId="0" fillId="0" borderId="0" xfId="0" applyAlignment="1">
      <alignment horizontal="left"/>
    </xf>
    <xf numFmtId="0" fontId="0" fillId="36" borderId="0" xfId="0" applyFill="1"/>
    <xf numFmtId="10" fontId="0" fillId="0" borderId="0" xfId="0" applyNumberFormat="1"/>
    <xf numFmtId="14" fontId="0" fillId="0" borderId="0" xfId="0" applyNumberFormat="1"/>
    <xf numFmtId="164" fontId="0" fillId="0" borderId="0" xfId="43" applyNumberFormat="1" applyFont="1"/>
    <xf numFmtId="0" fontId="21" fillId="0" borderId="0" xfId="0" applyFont="1"/>
    <xf numFmtId="0" fontId="19" fillId="34" borderId="0" xfId="0" applyFont="1" applyFill="1"/>
    <xf numFmtId="0" fontId="0" fillId="34" borderId="0" xfId="0" applyFill="1"/>
    <xf numFmtId="0" fontId="0" fillId="33" borderId="0" xfId="0" applyFill="1"/>
    <xf numFmtId="0" fontId="16" fillId="34" borderId="0" xfId="0" applyFont="1" applyFill="1"/>
    <xf numFmtId="0" fontId="0" fillId="33" borderId="0" xfId="0" applyFill="1" applyAlignment="1">
      <alignment wrapText="1"/>
    </xf>
    <xf numFmtId="0" fontId="0" fillId="0" borderId="0" xfId="0"/>
    <xf numFmtId="0" fontId="20" fillId="34" borderId="0" xfId="0" applyFont="1" applyFill="1"/>
    <xf numFmtId="0" fontId="0" fillId="37" borderId="0" xfId="0" applyFill="1"/>
    <xf numFmtId="0" fontId="0" fillId="36" borderId="0" xfId="0" applyFill="1"/>
    <xf numFmtId="0" fontId="0" fillId="36" borderId="0" xfId="0" applyFill="1" applyAlignment="1">
      <alignment wrapText="1"/>
    </xf>
    <xf numFmtId="0" fontId="0" fillId="0" borderId="0" xfId="0" applyNumberFormat="1"/>
    <xf numFmtId="0" fontId="16" fillId="0" borderId="0" xfId="0" applyFont="1" applyAlignment="1">
      <alignment horizontal="left" vertical="center" indent="1"/>
    </xf>
    <xf numFmtId="0" fontId="0" fillId="0" borderId="0" xfId="0" applyAlignment="1">
      <alignment horizontal="left" vertical="center" indent="2"/>
    </xf>
    <xf numFmtId="0" fontId="16" fillId="0" borderId="0" xfId="0" applyFont="1" applyAlignment="1">
      <alignment horizontal="left" vertical="center" indent="2"/>
    </xf>
    <xf numFmtId="0" fontId="22" fillId="0" borderId="0" xfId="0" applyFont="1" applyAlignment="1">
      <alignment vertical="center"/>
    </xf>
    <xf numFmtId="0" fontId="23" fillId="38" borderId="0" xfId="0" applyFont="1" applyFill="1"/>
    <xf numFmtId="0" fontId="0" fillId="38" borderId="0" xfId="0" applyFill="1"/>
    <xf numFmtId="169" fontId="0" fillId="0" borderId="0" xfId="0" applyNumberFormat="1"/>
    <xf numFmtId="169"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fill>
        <patternFill>
          <bgColor theme="3" tint="0.749961851863155"/>
        </patternFill>
      </fill>
    </dxf>
    <dxf>
      <font>
        <b/>
        <i val="0"/>
        <color theme="1"/>
      </font>
      <fill>
        <patternFill patternType="solid">
          <fgColor theme="4" tint="-0.24994659260841701"/>
          <bgColor theme="1" tint="0.24994659260841701"/>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Aptos Narrow"/>
        <family val="2"/>
        <scheme val="minor"/>
      </font>
    </dxf>
    <dxf>
      <numFmt numFmtId="19" formatCode="dd/mm/yyyy"/>
    </dxf>
    <dxf>
      <fill>
        <patternFill patternType="solid">
          <bgColor rgb="FF555258"/>
        </patternFill>
      </fill>
    </dxf>
  </dxfs>
  <tableStyles count="9" defaultTableStyle="TableStyleMedium2" defaultPivotStyle="PivotStyleLight16">
    <tableStyle name="Slicer Style 1" pivot="0" table="0" count="1" xr9:uid="{D090B556-F732-4B6C-B7E5-343801FAED08}"/>
    <tableStyle name="Slicer Style 2" pivot="0" table="0" count="5" xr9:uid="{DBCE4FEA-D2DC-4863-93B6-BB5F4F87733E}">
      <tableStyleElement type="wholeTable" dxfId="1"/>
      <tableStyleElement type="headerRow" dxfId="0"/>
    </tableStyle>
    <tableStyle name="Slicer Style 3" pivot="0" table="0" count="0" xr9:uid="{9C54821C-F381-441C-ACA0-1EDD2C5110DA}"/>
    <tableStyle name="Slicer Style 4" pivot="0" table="0" count="1" xr9:uid="{01B65FEF-4318-479A-A9D2-7B476BC60770}"/>
    <tableStyle name="Slicer Style 5" pivot="0" table="0" count="0" xr9:uid="{8A994F7C-C4A9-4DBB-97A1-BB349AC82DB1}"/>
    <tableStyle name="Slicer Style 6" pivot="0" table="0" count="1" xr9:uid="{6DF68270-CF4A-4F05-9053-0BE50D1B62B8}"/>
    <tableStyle name="Slicer Style 7" pivot="0" table="0" count="0" xr9:uid="{7453B502-6179-4EC9-89FD-2E858832A8FC}"/>
    <tableStyle name="Slicer Style 8" pivot="0" table="0" count="1" xr9:uid="{D36D29BE-4C2E-48E8-AD2E-8CFFAC4FDE01}">
      <tableStyleElement type="wholeTable" dxfId="11"/>
    </tableStyle>
    <tableStyle name="Slicer Style 9" pivot="0" table="0" count="0" xr9:uid="{A8BD71FC-6978-40A8-893D-9280A47170B2}"/>
  </tableStyles>
  <colors>
    <mruColors>
      <color rgb="FFCC9900"/>
      <color rgb="FFD389C3"/>
      <color rgb="FF9E2DB5"/>
      <color rgb="FF2C31F0"/>
      <color rgb="FF575BF3"/>
      <color rgb="FF6D66F6"/>
      <color rgb="FFC057D5"/>
      <color rgb="FF99CCFF"/>
      <color rgb="FF6D9AFF"/>
      <color rgb="FF8CCFFC"/>
    </mruColors>
  </colors>
  <extLst>
    <ext xmlns:x14="http://schemas.microsoft.com/office/spreadsheetml/2009/9/main" uri="{46F421CA-312F-682f-3DD2-61675219B42D}">
      <x14:dxfs count="12">
        <dxf>
          <fill>
            <patternFill>
              <bgColor theme="0" tint="-4.9989318521683403E-2"/>
            </patternFill>
          </fill>
        </dxf>
        <dxf>
          <fill>
            <patternFill>
              <bgColor theme="3" tint="0.749961851863155"/>
            </patternFill>
          </fill>
        </dxf>
        <dxf>
          <fill>
            <patternFill>
              <bgColor theme="2" tint="-9.9948118533890809E-2"/>
            </patternFill>
          </fill>
        </dxf>
        <dxf>
          <fill>
            <patternFill>
              <bgColor theme="0" tint="-4.9989318521683403E-2"/>
            </patternFill>
          </fill>
        </dxf>
        <dxf>
          <fill>
            <patternFill>
              <bgColor theme="3" tint="0.749961851863155"/>
            </patternFill>
          </fill>
        </dxf>
        <dxf>
          <fill>
            <patternFill>
              <bgColor theme="2" tint="-9.9948118533890809E-2"/>
            </patternFill>
          </fill>
        </dxf>
        <dxf>
          <fill>
            <patternFill>
              <bgColor theme="0" tint="-4.9989318521683403E-2"/>
            </patternFill>
          </fill>
        </dxf>
        <dxf>
          <fill>
            <patternFill>
              <bgColor theme="3" tint="0.749961851863155"/>
            </patternFill>
          </fill>
        </dxf>
        <dxf>
          <fill>
            <patternFill>
              <bgColor theme="2" tint="-9.9948118533890809E-2"/>
            </patternFill>
          </fill>
        </dxf>
        <dxf>
          <border>
            <left style="thin">
              <color theme="1" tint="4.9989318521683403E-2"/>
            </left>
            <right style="thin">
              <color theme="1" tint="4.9989318521683403E-2"/>
            </right>
            <top style="thin">
              <color theme="1" tint="4.9989318521683403E-2"/>
            </top>
            <bottom style="thin">
              <color theme="1" tint="4.9989318521683403E-2"/>
            </bottom>
          </border>
        </dxf>
        <dxf>
          <border diagonalDown="1">
            <diagonal style="thin">
              <color auto="1"/>
            </diagonal>
          </border>
        </dxf>
        <dxf>
          <fill>
            <patternFill>
              <bgColor theme="4" tint="0.59996337778862885"/>
            </patternFill>
          </fill>
        </dxf>
      </x14:dxfs>
    </ext>
    <ext xmlns:x14="http://schemas.microsoft.com/office/spreadsheetml/2009/9/main" uri="{EB79DEF2-80B8-43e5-95BD-54CBDDF9020C}">
      <x14:slicerStyles defaultSlicerStyle="Slicer Style 2">
        <x14:slicerStyle name="Slicer Style 1">
          <x14:slicerStyleElements>
            <x14:slicerStyleElement type="hoveredSelectedItemWithData" dxfId="11"/>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 name="Slicer Style 3"/>
        <x14:slicerStyle name="Slicer Style 4">
          <x14:slicerStyleElements>
            <x14:slicerStyleElement type="hoveredSelectedItemWithData" dxfId="10"/>
          </x14:slicerStyleElements>
        </x14:slicerStyle>
        <x14:slicerStyle name="Slicer Style 5"/>
        <x14:slicerStyle name="Slicer Style 6">
          <x14:slicerStyleElements>
            <x14:slicerStyleElement type="hoveredSelectedItemWithData" dxfId="9"/>
          </x14:slicerStyleElements>
        </x14:slicerStyle>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[Excel_Data_Analytics_Dataset Answers.xlsx]PivotTableSectionG!Category/sales</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Share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PivotTableSectionG!$H$17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F01-4A54-BBA3-AC89DE47626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F01-4A54-BBA3-AC89DE4762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PivotTableSectionG!$G$18:$G$20</c:f>
              <c:strCache>
                <c:ptCount val="2"/>
                <c:pt idx="0">
                  <c:v>Electronics</c:v>
                </c:pt>
                <c:pt idx="1">
                  <c:v>Furniture</c:v>
                </c:pt>
              </c:strCache>
            </c:strRef>
          </c:cat>
          <c:val>
            <c:numRef>
              <c:f>PivotTableSectionG!$H$18:$H$20</c:f>
              <c:numCache>
                <c:formatCode>General</c:formatCode>
                <c:ptCount val="2"/>
                <c:pt idx="0">
                  <c:v>1638383</c:v>
                </c:pt>
                <c:pt idx="1">
                  <c:v>1596817</c:v>
                </c:pt>
              </c:numCache>
            </c:numRef>
          </c:val>
          <c:extLst>
            <c:ext xmlns:c16="http://schemas.microsoft.com/office/drawing/2014/chart" uri="{C3380CC4-5D6E-409C-BE32-E72D297353CC}">
              <c16:uniqueId val="{00000004-6F01-4A54-BBA3-AC89DE47626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[Excel_Data_Analytics_Dataset Answers.xlsx]PivotTableSectionG!DailysalesTrend</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PivotTableSectionG!$K$17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PivotTableSectionG!$J$18:$J$218</c:f>
              <c:strCache>
                <c:ptCount val="200"/>
                <c:pt idx="0">
                  <c:v>03-Jan</c:v>
                </c:pt>
                <c:pt idx="1">
                  <c:v>04-Jan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pt idx="20">
                  <c:v>23-Jan</c:v>
                </c:pt>
                <c:pt idx="21">
                  <c:v>24-Jan</c:v>
                </c:pt>
                <c:pt idx="22">
                  <c:v>25-Jan</c:v>
                </c:pt>
                <c:pt idx="23">
                  <c:v>26-Jan</c:v>
                </c:pt>
                <c:pt idx="24">
                  <c:v>27-Jan</c:v>
                </c:pt>
                <c:pt idx="25">
                  <c:v>28-Jan</c:v>
                </c:pt>
                <c:pt idx="26">
                  <c:v>29-Jan</c:v>
                </c:pt>
                <c:pt idx="27">
                  <c:v>30-Jan</c:v>
                </c:pt>
                <c:pt idx="28">
                  <c:v>31-Jan</c:v>
                </c:pt>
                <c:pt idx="29">
                  <c:v>01-Feb</c:v>
                </c:pt>
                <c:pt idx="30">
                  <c:v>02-Feb</c:v>
                </c:pt>
                <c:pt idx="31">
                  <c:v>03-Feb</c:v>
                </c:pt>
                <c:pt idx="32">
                  <c:v>04-Feb</c:v>
                </c:pt>
                <c:pt idx="33">
                  <c:v>05-Feb</c:v>
                </c:pt>
                <c:pt idx="34">
                  <c:v>06-Feb</c:v>
                </c:pt>
                <c:pt idx="35">
                  <c:v>07-Feb</c:v>
                </c:pt>
                <c:pt idx="36">
                  <c:v>08-Feb</c:v>
                </c:pt>
                <c:pt idx="37">
                  <c:v>09-Feb</c:v>
                </c:pt>
                <c:pt idx="38">
                  <c:v>10-Feb</c:v>
                </c:pt>
                <c:pt idx="39">
                  <c:v>11-Feb</c:v>
                </c:pt>
                <c:pt idx="40">
                  <c:v>12-Feb</c:v>
                </c:pt>
                <c:pt idx="41">
                  <c:v>13-Feb</c:v>
                </c:pt>
                <c:pt idx="42">
                  <c:v>14-Feb</c:v>
                </c:pt>
                <c:pt idx="43">
                  <c:v>15-Feb</c:v>
                </c:pt>
                <c:pt idx="44">
                  <c:v>16-Feb</c:v>
                </c:pt>
                <c:pt idx="45">
                  <c:v>17-Feb</c:v>
                </c:pt>
                <c:pt idx="46">
                  <c:v>18-Feb</c:v>
                </c:pt>
                <c:pt idx="47">
                  <c:v>19-Feb</c:v>
                </c:pt>
                <c:pt idx="48">
                  <c:v>20-Feb</c:v>
                </c:pt>
                <c:pt idx="49">
                  <c:v>21-Feb</c:v>
                </c:pt>
                <c:pt idx="50">
                  <c:v>22-Feb</c:v>
                </c:pt>
                <c:pt idx="51">
                  <c:v>23-Feb</c:v>
                </c:pt>
                <c:pt idx="52">
                  <c:v>24-Feb</c:v>
                </c:pt>
                <c:pt idx="53">
                  <c:v>25-Feb</c:v>
                </c:pt>
                <c:pt idx="54">
                  <c:v>26-Feb</c:v>
                </c:pt>
                <c:pt idx="55">
                  <c:v>27-Feb</c:v>
                </c:pt>
                <c:pt idx="56">
                  <c:v>28-Feb</c:v>
                </c:pt>
                <c:pt idx="57">
                  <c:v>01-Mar</c:v>
                </c:pt>
                <c:pt idx="58">
                  <c:v>02-Mar</c:v>
                </c:pt>
                <c:pt idx="59">
                  <c:v>03-Mar</c:v>
                </c:pt>
                <c:pt idx="60">
                  <c:v>04-Mar</c:v>
                </c:pt>
                <c:pt idx="61">
                  <c:v>05-Mar</c:v>
                </c:pt>
                <c:pt idx="62">
                  <c:v>06-Mar</c:v>
                </c:pt>
                <c:pt idx="63">
                  <c:v>07-Mar</c:v>
                </c:pt>
                <c:pt idx="64">
                  <c:v>08-Mar</c:v>
                </c:pt>
                <c:pt idx="65">
                  <c:v>09-Mar</c:v>
                </c:pt>
                <c:pt idx="66">
                  <c:v>10-Mar</c:v>
                </c:pt>
                <c:pt idx="67">
                  <c:v>11-Mar</c:v>
                </c:pt>
                <c:pt idx="68">
                  <c:v>12-Mar</c:v>
                </c:pt>
                <c:pt idx="69">
                  <c:v>13-Mar</c:v>
                </c:pt>
                <c:pt idx="70">
                  <c:v>14-Mar</c:v>
                </c:pt>
                <c:pt idx="71">
                  <c:v>15-Mar</c:v>
                </c:pt>
                <c:pt idx="72">
                  <c:v>16-Mar</c:v>
                </c:pt>
                <c:pt idx="73">
                  <c:v>17-Mar</c:v>
                </c:pt>
                <c:pt idx="74">
                  <c:v>18-Mar</c:v>
                </c:pt>
                <c:pt idx="75">
                  <c:v>19-Mar</c:v>
                </c:pt>
                <c:pt idx="76">
                  <c:v>20-Mar</c:v>
                </c:pt>
                <c:pt idx="77">
                  <c:v>21-Mar</c:v>
                </c:pt>
                <c:pt idx="78">
                  <c:v>22-Mar</c:v>
                </c:pt>
                <c:pt idx="79">
                  <c:v>23-Mar</c:v>
                </c:pt>
                <c:pt idx="80">
                  <c:v>24-Mar</c:v>
                </c:pt>
                <c:pt idx="81">
                  <c:v>25-Mar</c:v>
                </c:pt>
                <c:pt idx="82">
                  <c:v>26-Mar</c:v>
                </c:pt>
                <c:pt idx="83">
                  <c:v>27-Mar</c:v>
                </c:pt>
                <c:pt idx="84">
                  <c:v>28-Mar</c:v>
                </c:pt>
                <c:pt idx="85">
                  <c:v>29-Mar</c:v>
                </c:pt>
                <c:pt idx="86">
                  <c:v>30-Mar</c:v>
                </c:pt>
                <c:pt idx="87">
                  <c:v>31-Mar</c:v>
                </c:pt>
                <c:pt idx="88">
                  <c:v>01-Apr</c:v>
                </c:pt>
                <c:pt idx="89">
                  <c:v>02-Apr</c:v>
                </c:pt>
                <c:pt idx="90">
                  <c:v>03-Apr</c:v>
                </c:pt>
                <c:pt idx="91">
                  <c:v>04-Apr</c:v>
                </c:pt>
                <c:pt idx="92">
                  <c:v>05-Apr</c:v>
                </c:pt>
                <c:pt idx="93">
                  <c:v>06-Apr</c:v>
                </c:pt>
                <c:pt idx="94">
                  <c:v>07-Apr</c:v>
                </c:pt>
                <c:pt idx="95">
                  <c:v>08-Apr</c:v>
                </c:pt>
                <c:pt idx="96">
                  <c:v>09-Apr</c:v>
                </c:pt>
                <c:pt idx="97">
                  <c:v>10-Apr</c:v>
                </c:pt>
                <c:pt idx="98">
                  <c:v>11-Apr</c:v>
                </c:pt>
                <c:pt idx="99">
                  <c:v>12-Apr</c:v>
                </c:pt>
                <c:pt idx="100">
                  <c:v>13-Apr</c:v>
                </c:pt>
                <c:pt idx="101">
                  <c:v>14-Apr</c:v>
                </c:pt>
                <c:pt idx="102">
                  <c:v>15-Apr</c:v>
                </c:pt>
                <c:pt idx="103">
                  <c:v>16-Apr</c:v>
                </c:pt>
                <c:pt idx="104">
                  <c:v>17-Apr</c:v>
                </c:pt>
                <c:pt idx="105">
                  <c:v>18-Apr</c:v>
                </c:pt>
                <c:pt idx="106">
                  <c:v>19-Apr</c:v>
                </c:pt>
                <c:pt idx="107">
                  <c:v>20-Apr</c:v>
                </c:pt>
                <c:pt idx="108">
                  <c:v>21-Apr</c:v>
                </c:pt>
                <c:pt idx="109">
                  <c:v>22-Apr</c:v>
                </c:pt>
                <c:pt idx="110">
                  <c:v>23-Apr</c:v>
                </c:pt>
                <c:pt idx="111">
                  <c:v>24-Apr</c:v>
                </c:pt>
                <c:pt idx="112">
                  <c:v>25-Apr</c:v>
                </c:pt>
                <c:pt idx="113">
                  <c:v>26-Apr</c:v>
                </c:pt>
                <c:pt idx="114">
                  <c:v>27-Apr</c:v>
                </c:pt>
                <c:pt idx="115">
                  <c:v>28-Apr</c:v>
                </c:pt>
                <c:pt idx="116">
                  <c:v>29-Apr</c:v>
                </c:pt>
                <c:pt idx="117">
                  <c:v>30-Apr</c:v>
                </c:pt>
                <c:pt idx="118">
                  <c:v>01-May</c:v>
                </c:pt>
                <c:pt idx="119">
                  <c:v>02-May</c:v>
                </c:pt>
                <c:pt idx="120">
                  <c:v>03-May</c:v>
                </c:pt>
                <c:pt idx="121">
                  <c:v>04-May</c:v>
                </c:pt>
                <c:pt idx="122">
                  <c:v>05-May</c:v>
                </c:pt>
                <c:pt idx="123">
                  <c:v>06-May</c:v>
                </c:pt>
                <c:pt idx="124">
                  <c:v>07-May</c:v>
                </c:pt>
                <c:pt idx="125">
                  <c:v>08-May</c:v>
                </c:pt>
                <c:pt idx="126">
                  <c:v>09-May</c:v>
                </c:pt>
                <c:pt idx="127">
                  <c:v>10-May</c:v>
                </c:pt>
                <c:pt idx="128">
                  <c:v>11-May</c:v>
                </c:pt>
                <c:pt idx="129">
                  <c:v>12-May</c:v>
                </c:pt>
                <c:pt idx="130">
                  <c:v>13-May</c:v>
                </c:pt>
                <c:pt idx="131">
                  <c:v>14-May</c:v>
                </c:pt>
                <c:pt idx="132">
                  <c:v>15-May</c:v>
                </c:pt>
                <c:pt idx="133">
                  <c:v>16-May</c:v>
                </c:pt>
                <c:pt idx="134">
                  <c:v>17-May</c:v>
                </c:pt>
                <c:pt idx="135">
                  <c:v>18-May</c:v>
                </c:pt>
                <c:pt idx="136">
                  <c:v>19-May</c:v>
                </c:pt>
                <c:pt idx="137">
                  <c:v>20-May</c:v>
                </c:pt>
                <c:pt idx="138">
                  <c:v>21-May</c:v>
                </c:pt>
                <c:pt idx="139">
                  <c:v>22-May</c:v>
                </c:pt>
                <c:pt idx="140">
                  <c:v>23-May</c:v>
                </c:pt>
                <c:pt idx="141">
                  <c:v>24-May</c:v>
                </c:pt>
                <c:pt idx="142">
                  <c:v>25-May</c:v>
                </c:pt>
                <c:pt idx="143">
                  <c:v>26-May</c:v>
                </c:pt>
                <c:pt idx="144">
                  <c:v>27-May</c:v>
                </c:pt>
                <c:pt idx="145">
                  <c:v>28-May</c:v>
                </c:pt>
                <c:pt idx="146">
                  <c:v>29-May</c:v>
                </c:pt>
                <c:pt idx="147">
                  <c:v>30-May</c:v>
                </c:pt>
                <c:pt idx="148">
                  <c:v>31-May</c:v>
                </c:pt>
                <c:pt idx="149">
                  <c:v>01-Jun</c:v>
                </c:pt>
                <c:pt idx="150">
                  <c:v>02-Jun</c:v>
                </c:pt>
                <c:pt idx="151">
                  <c:v>03-Jun</c:v>
                </c:pt>
                <c:pt idx="152">
                  <c:v>04-Jun</c:v>
                </c:pt>
                <c:pt idx="153">
                  <c:v>05-Jun</c:v>
                </c:pt>
                <c:pt idx="154">
                  <c:v>06-Jun</c:v>
                </c:pt>
                <c:pt idx="155">
                  <c:v>07-Jun</c:v>
                </c:pt>
                <c:pt idx="156">
                  <c:v>08-Jun</c:v>
                </c:pt>
                <c:pt idx="157">
                  <c:v>09-Jun</c:v>
                </c:pt>
                <c:pt idx="158">
                  <c:v>10-Jun</c:v>
                </c:pt>
                <c:pt idx="159">
                  <c:v>11-Jun</c:v>
                </c:pt>
                <c:pt idx="160">
                  <c:v>12-Jun</c:v>
                </c:pt>
                <c:pt idx="161">
                  <c:v>13-Jun</c:v>
                </c:pt>
                <c:pt idx="162">
                  <c:v>14-Jun</c:v>
                </c:pt>
                <c:pt idx="163">
                  <c:v>15-Jun</c:v>
                </c:pt>
                <c:pt idx="164">
                  <c:v>16-Jun</c:v>
                </c:pt>
                <c:pt idx="165">
                  <c:v>17-Jun</c:v>
                </c:pt>
                <c:pt idx="166">
                  <c:v>18-Jun</c:v>
                </c:pt>
                <c:pt idx="167">
                  <c:v>19-Jun</c:v>
                </c:pt>
                <c:pt idx="168">
                  <c:v>20-Jun</c:v>
                </c:pt>
                <c:pt idx="169">
                  <c:v>21-Jun</c:v>
                </c:pt>
                <c:pt idx="170">
                  <c:v>22-Jun</c:v>
                </c:pt>
                <c:pt idx="171">
                  <c:v>23-Jun</c:v>
                </c:pt>
                <c:pt idx="172">
                  <c:v>24-Jun</c:v>
                </c:pt>
                <c:pt idx="173">
                  <c:v>25-Jun</c:v>
                </c:pt>
                <c:pt idx="174">
                  <c:v>26-Jun</c:v>
                </c:pt>
                <c:pt idx="175">
                  <c:v>27-Jun</c:v>
                </c:pt>
                <c:pt idx="176">
                  <c:v>28-Jun</c:v>
                </c:pt>
                <c:pt idx="177">
                  <c:v>29-Jun</c:v>
                </c:pt>
                <c:pt idx="178">
                  <c:v>30-Jun</c:v>
                </c:pt>
                <c:pt idx="179">
                  <c:v>01-Jul</c:v>
                </c:pt>
                <c:pt idx="180">
                  <c:v>02-Jul</c:v>
                </c:pt>
                <c:pt idx="181">
                  <c:v>03-Jul</c:v>
                </c:pt>
                <c:pt idx="182">
                  <c:v>04-Jul</c:v>
                </c:pt>
                <c:pt idx="183">
                  <c:v>05-Jul</c:v>
                </c:pt>
                <c:pt idx="184">
                  <c:v>06-Jul</c:v>
                </c:pt>
                <c:pt idx="185">
                  <c:v>07-Jul</c:v>
                </c:pt>
                <c:pt idx="186">
                  <c:v>08-Jul</c:v>
                </c:pt>
                <c:pt idx="187">
                  <c:v>09-Jul</c:v>
                </c:pt>
                <c:pt idx="188">
                  <c:v>10-Jul</c:v>
                </c:pt>
                <c:pt idx="189">
                  <c:v>11-Jul</c:v>
                </c:pt>
                <c:pt idx="190">
                  <c:v>12-Jul</c:v>
                </c:pt>
                <c:pt idx="191">
                  <c:v>13-Jul</c:v>
                </c:pt>
                <c:pt idx="192">
                  <c:v>14-Jul</c:v>
                </c:pt>
                <c:pt idx="193">
                  <c:v>15-Jul</c:v>
                </c:pt>
                <c:pt idx="194">
                  <c:v>16-Jul</c:v>
                </c:pt>
                <c:pt idx="195">
                  <c:v>17-Jul</c:v>
                </c:pt>
                <c:pt idx="196">
                  <c:v>18-Jul</c:v>
                </c:pt>
                <c:pt idx="197">
                  <c:v>19-Jul</c:v>
                </c:pt>
                <c:pt idx="198">
                  <c:v>20-Jul</c:v>
                </c:pt>
                <c:pt idx="199">
                  <c:v>21-Jul</c:v>
                </c:pt>
              </c:strCache>
            </c:strRef>
          </c:cat>
          <c:val>
            <c:numRef>
              <c:f>PivotTableSectionG!$K$18:$K$218</c:f>
              <c:numCache>
                <c:formatCode>General</c:formatCode>
                <c:ptCount val="200"/>
                <c:pt idx="0">
                  <c:v>5811</c:v>
                </c:pt>
                <c:pt idx="1">
                  <c:v>13553</c:v>
                </c:pt>
                <c:pt idx="2">
                  <c:v>7987</c:v>
                </c:pt>
                <c:pt idx="3">
                  <c:v>3254</c:v>
                </c:pt>
                <c:pt idx="4">
                  <c:v>13732</c:v>
                </c:pt>
                <c:pt idx="5">
                  <c:v>17328</c:v>
                </c:pt>
                <c:pt idx="6">
                  <c:v>16650</c:v>
                </c:pt>
                <c:pt idx="7">
                  <c:v>4964</c:v>
                </c:pt>
                <c:pt idx="8">
                  <c:v>19497</c:v>
                </c:pt>
                <c:pt idx="9">
                  <c:v>29094</c:v>
                </c:pt>
                <c:pt idx="10">
                  <c:v>27904</c:v>
                </c:pt>
                <c:pt idx="11">
                  <c:v>9233</c:v>
                </c:pt>
                <c:pt idx="12">
                  <c:v>27329</c:v>
                </c:pt>
                <c:pt idx="13">
                  <c:v>6994</c:v>
                </c:pt>
                <c:pt idx="14">
                  <c:v>6822</c:v>
                </c:pt>
                <c:pt idx="15">
                  <c:v>14681</c:v>
                </c:pt>
                <c:pt idx="16">
                  <c:v>21800</c:v>
                </c:pt>
                <c:pt idx="17">
                  <c:v>27543</c:v>
                </c:pt>
                <c:pt idx="18">
                  <c:v>8177</c:v>
                </c:pt>
                <c:pt idx="19">
                  <c:v>17261</c:v>
                </c:pt>
                <c:pt idx="20">
                  <c:v>13080</c:v>
                </c:pt>
                <c:pt idx="21">
                  <c:v>12676</c:v>
                </c:pt>
                <c:pt idx="22">
                  <c:v>12995</c:v>
                </c:pt>
                <c:pt idx="23">
                  <c:v>26402</c:v>
                </c:pt>
                <c:pt idx="24">
                  <c:v>20499</c:v>
                </c:pt>
                <c:pt idx="25">
                  <c:v>22507</c:v>
                </c:pt>
                <c:pt idx="26">
                  <c:v>4786</c:v>
                </c:pt>
                <c:pt idx="27">
                  <c:v>26850</c:v>
                </c:pt>
                <c:pt idx="28">
                  <c:v>19466</c:v>
                </c:pt>
                <c:pt idx="29">
                  <c:v>14784</c:v>
                </c:pt>
                <c:pt idx="30">
                  <c:v>28085</c:v>
                </c:pt>
                <c:pt idx="31">
                  <c:v>11264</c:v>
                </c:pt>
                <c:pt idx="32">
                  <c:v>10384</c:v>
                </c:pt>
                <c:pt idx="33">
                  <c:v>13816</c:v>
                </c:pt>
                <c:pt idx="34">
                  <c:v>19945</c:v>
                </c:pt>
                <c:pt idx="35">
                  <c:v>12316</c:v>
                </c:pt>
                <c:pt idx="36">
                  <c:v>5269</c:v>
                </c:pt>
                <c:pt idx="37">
                  <c:v>23738</c:v>
                </c:pt>
                <c:pt idx="38">
                  <c:v>23819</c:v>
                </c:pt>
                <c:pt idx="39">
                  <c:v>4280</c:v>
                </c:pt>
                <c:pt idx="40">
                  <c:v>18083</c:v>
                </c:pt>
                <c:pt idx="41">
                  <c:v>22615</c:v>
                </c:pt>
                <c:pt idx="42">
                  <c:v>16811</c:v>
                </c:pt>
                <c:pt idx="43">
                  <c:v>12859</c:v>
                </c:pt>
                <c:pt idx="44">
                  <c:v>9025</c:v>
                </c:pt>
                <c:pt idx="45">
                  <c:v>27125</c:v>
                </c:pt>
                <c:pt idx="46">
                  <c:v>4910</c:v>
                </c:pt>
                <c:pt idx="47">
                  <c:v>13768</c:v>
                </c:pt>
                <c:pt idx="48">
                  <c:v>28518</c:v>
                </c:pt>
                <c:pt idx="49">
                  <c:v>24630</c:v>
                </c:pt>
                <c:pt idx="50">
                  <c:v>5943</c:v>
                </c:pt>
                <c:pt idx="51">
                  <c:v>12216</c:v>
                </c:pt>
                <c:pt idx="52">
                  <c:v>22306</c:v>
                </c:pt>
                <c:pt idx="53">
                  <c:v>17746</c:v>
                </c:pt>
                <c:pt idx="54">
                  <c:v>17314</c:v>
                </c:pt>
                <c:pt idx="55">
                  <c:v>26570</c:v>
                </c:pt>
                <c:pt idx="56">
                  <c:v>18440</c:v>
                </c:pt>
                <c:pt idx="57">
                  <c:v>18052</c:v>
                </c:pt>
                <c:pt idx="58">
                  <c:v>27796</c:v>
                </c:pt>
                <c:pt idx="59">
                  <c:v>21524</c:v>
                </c:pt>
                <c:pt idx="60">
                  <c:v>17658</c:v>
                </c:pt>
                <c:pt idx="61">
                  <c:v>16751</c:v>
                </c:pt>
                <c:pt idx="62">
                  <c:v>5069</c:v>
                </c:pt>
                <c:pt idx="63">
                  <c:v>29735</c:v>
                </c:pt>
                <c:pt idx="64">
                  <c:v>15491</c:v>
                </c:pt>
                <c:pt idx="65">
                  <c:v>28106</c:v>
                </c:pt>
                <c:pt idx="66">
                  <c:v>23089</c:v>
                </c:pt>
                <c:pt idx="67">
                  <c:v>20026</c:v>
                </c:pt>
                <c:pt idx="68">
                  <c:v>3988</c:v>
                </c:pt>
                <c:pt idx="69">
                  <c:v>9205</c:v>
                </c:pt>
                <c:pt idx="70">
                  <c:v>28902</c:v>
                </c:pt>
                <c:pt idx="71">
                  <c:v>17678</c:v>
                </c:pt>
                <c:pt idx="72">
                  <c:v>26496</c:v>
                </c:pt>
                <c:pt idx="73">
                  <c:v>6369</c:v>
                </c:pt>
                <c:pt idx="74">
                  <c:v>17004</c:v>
                </c:pt>
                <c:pt idx="75">
                  <c:v>5148</c:v>
                </c:pt>
                <c:pt idx="76">
                  <c:v>5919</c:v>
                </c:pt>
                <c:pt idx="77">
                  <c:v>12848</c:v>
                </c:pt>
                <c:pt idx="78">
                  <c:v>12268</c:v>
                </c:pt>
                <c:pt idx="79">
                  <c:v>26582</c:v>
                </c:pt>
                <c:pt idx="80">
                  <c:v>16473</c:v>
                </c:pt>
                <c:pt idx="81">
                  <c:v>25437</c:v>
                </c:pt>
                <c:pt idx="82">
                  <c:v>6512</c:v>
                </c:pt>
                <c:pt idx="83">
                  <c:v>13717</c:v>
                </c:pt>
                <c:pt idx="84">
                  <c:v>16696</c:v>
                </c:pt>
                <c:pt idx="85">
                  <c:v>16152</c:v>
                </c:pt>
                <c:pt idx="86">
                  <c:v>23879</c:v>
                </c:pt>
                <c:pt idx="87">
                  <c:v>19812</c:v>
                </c:pt>
                <c:pt idx="88">
                  <c:v>28689</c:v>
                </c:pt>
                <c:pt idx="89">
                  <c:v>22720</c:v>
                </c:pt>
                <c:pt idx="90">
                  <c:v>21070</c:v>
                </c:pt>
                <c:pt idx="91">
                  <c:v>5006</c:v>
                </c:pt>
                <c:pt idx="92">
                  <c:v>3008</c:v>
                </c:pt>
                <c:pt idx="93">
                  <c:v>16731</c:v>
                </c:pt>
                <c:pt idx="94">
                  <c:v>25721</c:v>
                </c:pt>
                <c:pt idx="95">
                  <c:v>12746</c:v>
                </c:pt>
                <c:pt idx="96">
                  <c:v>17130</c:v>
                </c:pt>
                <c:pt idx="97">
                  <c:v>19263</c:v>
                </c:pt>
                <c:pt idx="98">
                  <c:v>19662</c:v>
                </c:pt>
                <c:pt idx="99">
                  <c:v>25528</c:v>
                </c:pt>
                <c:pt idx="100">
                  <c:v>5348</c:v>
                </c:pt>
                <c:pt idx="101">
                  <c:v>22285</c:v>
                </c:pt>
                <c:pt idx="102">
                  <c:v>17832</c:v>
                </c:pt>
                <c:pt idx="103">
                  <c:v>18659</c:v>
                </c:pt>
                <c:pt idx="104">
                  <c:v>8814</c:v>
                </c:pt>
                <c:pt idx="105">
                  <c:v>18540</c:v>
                </c:pt>
                <c:pt idx="106">
                  <c:v>11682</c:v>
                </c:pt>
                <c:pt idx="107">
                  <c:v>28130</c:v>
                </c:pt>
                <c:pt idx="108">
                  <c:v>12219</c:v>
                </c:pt>
                <c:pt idx="109">
                  <c:v>13169</c:v>
                </c:pt>
                <c:pt idx="110">
                  <c:v>3614</c:v>
                </c:pt>
                <c:pt idx="111">
                  <c:v>27189</c:v>
                </c:pt>
                <c:pt idx="112">
                  <c:v>10537</c:v>
                </c:pt>
                <c:pt idx="113">
                  <c:v>7848</c:v>
                </c:pt>
                <c:pt idx="114">
                  <c:v>27755</c:v>
                </c:pt>
                <c:pt idx="115">
                  <c:v>4181</c:v>
                </c:pt>
                <c:pt idx="116">
                  <c:v>8389</c:v>
                </c:pt>
                <c:pt idx="117">
                  <c:v>5296</c:v>
                </c:pt>
                <c:pt idx="118">
                  <c:v>23944</c:v>
                </c:pt>
                <c:pt idx="119">
                  <c:v>18898</c:v>
                </c:pt>
                <c:pt idx="120">
                  <c:v>13655</c:v>
                </c:pt>
                <c:pt idx="121">
                  <c:v>27432</c:v>
                </c:pt>
                <c:pt idx="122">
                  <c:v>22740</c:v>
                </c:pt>
                <c:pt idx="123">
                  <c:v>20494</c:v>
                </c:pt>
                <c:pt idx="124">
                  <c:v>4689</c:v>
                </c:pt>
                <c:pt idx="125">
                  <c:v>7805</c:v>
                </c:pt>
                <c:pt idx="126">
                  <c:v>29035</c:v>
                </c:pt>
                <c:pt idx="127">
                  <c:v>28977</c:v>
                </c:pt>
                <c:pt idx="128">
                  <c:v>22701</c:v>
                </c:pt>
                <c:pt idx="129">
                  <c:v>19348</c:v>
                </c:pt>
                <c:pt idx="130">
                  <c:v>17249</c:v>
                </c:pt>
                <c:pt idx="131">
                  <c:v>11825</c:v>
                </c:pt>
                <c:pt idx="132">
                  <c:v>17610</c:v>
                </c:pt>
                <c:pt idx="133">
                  <c:v>13456</c:v>
                </c:pt>
                <c:pt idx="134">
                  <c:v>21343</c:v>
                </c:pt>
                <c:pt idx="135">
                  <c:v>16315</c:v>
                </c:pt>
                <c:pt idx="136">
                  <c:v>21957</c:v>
                </c:pt>
                <c:pt idx="137">
                  <c:v>7509</c:v>
                </c:pt>
                <c:pt idx="138">
                  <c:v>28336</c:v>
                </c:pt>
                <c:pt idx="139">
                  <c:v>7967</c:v>
                </c:pt>
                <c:pt idx="140">
                  <c:v>9266</c:v>
                </c:pt>
                <c:pt idx="141">
                  <c:v>18541</c:v>
                </c:pt>
                <c:pt idx="142">
                  <c:v>12290</c:v>
                </c:pt>
                <c:pt idx="143">
                  <c:v>29811</c:v>
                </c:pt>
                <c:pt idx="144">
                  <c:v>3743</c:v>
                </c:pt>
                <c:pt idx="145">
                  <c:v>12655</c:v>
                </c:pt>
                <c:pt idx="146">
                  <c:v>19492</c:v>
                </c:pt>
                <c:pt idx="147">
                  <c:v>23823</c:v>
                </c:pt>
                <c:pt idx="148">
                  <c:v>12233</c:v>
                </c:pt>
                <c:pt idx="149">
                  <c:v>3003</c:v>
                </c:pt>
                <c:pt idx="150">
                  <c:v>21525</c:v>
                </c:pt>
                <c:pt idx="151">
                  <c:v>21312</c:v>
                </c:pt>
                <c:pt idx="152">
                  <c:v>8413</c:v>
                </c:pt>
                <c:pt idx="153">
                  <c:v>4693</c:v>
                </c:pt>
                <c:pt idx="154">
                  <c:v>24941</c:v>
                </c:pt>
                <c:pt idx="155">
                  <c:v>22511</c:v>
                </c:pt>
                <c:pt idx="156">
                  <c:v>13946</c:v>
                </c:pt>
                <c:pt idx="157">
                  <c:v>21242</c:v>
                </c:pt>
                <c:pt idx="158">
                  <c:v>22822</c:v>
                </c:pt>
                <c:pt idx="159">
                  <c:v>14825</c:v>
                </c:pt>
                <c:pt idx="160">
                  <c:v>10106</c:v>
                </c:pt>
                <c:pt idx="161">
                  <c:v>24181</c:v>
                </c:pt>
                <c:pt idx="162">
                  <c:v>8789</c:v>
                </c:pt>
                <c:pt idx="163">
                  <c:v>17609</c:v>
                </c:pt>
                <c:pt idx="164">
                  <c:v>12827</c:v>
                </c:pt>
                <c:pt idx="165">
                  <c:v>7741</c:v>
                </c:pt>
                <c:pt idx="166">
                  <c:v>27959</c:v>
                </c:pt>
                <c:pt idx="167">
                  <c:v>9260</c:v>
                </c:pt>
                <c:pt idx="168">
                  <c:v>23426</c:v>
                </c:pt>
                <c:pt idx="169">
                  <c:v>9672</c:v>
                </c:pt>
                <c:pt idx="170">
                  <c:v>15655</c:v>
                </c:pt>
                <c:pt idx="171">
                  <c:v>4896</c:v>
                </c:pt>
                <c:pt idx="172">
                  <c:v>26624</c:v>
                </c:pt>
                <c:pt idx="173">
                  <c:v>12390</c:v>
                </c:pt>
                <c:pt idx="174">
                  <c:v>16540</c:v>
                </c:pt>
                <c:pt idx="175">
                  <c:v>10981</c:v>
                </c:pt>
                <c:pt idx="176">
                  <c:v>11754</c:v>
                </c:pt>
                <c:pt idx="177">
                  <c:v>19787</c:v>
                </c:pt>
                <c:pt idx="178">
                  <c:v>7183</c:v>
                </c:pt>
                <c:pt idx="179">
                  <c:v>9341</c:v>
                </c:pt>
                <c:pt idx="180">
                  <c:v>17968</c:v>
                </c:pt>
                <c:pt idx="181">
                  <c:v>13825</c:v>
                </c:pt>
                <c:pt idx="182">
                  <c:v>12841</c:v>
                </c:pt>
                <c:pt idx="183">
                  <c:v>15573</c:v>
                </c:pt>
                <c:pt idx="184">
                  <c:v>14137</c:v>
                </c:pt>
                <c:pt idx="185">
                  <c:v>10389</c:v>
                </c:pt>
                <c:pt idx="186">
                  <c:v>17123</c:v>
                </c:pt>
                <c:pt idx="187">
                  <c:v>23457</c:v>
                </c:pt>
                <c:pt idx="188">
                  <c:v>12542</c:v>
                </c:pt>
                <c:pt idx="189">
                  <c:v>11297</c:v>
                </c:pt>
                <c:pt idx="190">
                  <c:v>20988</c:v>
                </c:pt>
                <c:pt idx="191">
                  <c:v>22125</c:v>
                </c:pt>
                <c:pt idx="192">
                  <c:v>24547</c:v>
                </c:pt>
                <c:pt idx="193">
                  <c:v>24450</c:v>
                </c:pt>
                <c:pt idx="194">
                  <c:v>6284</c:v>
                </c:pt>
                <c:pt idx="195">
                  <c:v>12554</c:v>
                </c:pt>
                <c:pt idx="196">
                  <c:v>3970</c:v>
                </c:pt>
                <c:pt idx="197">
                  <c:v>7069</c:v>
                </c:pt>
                <c:pt idx="198">
                  <c:v>17934</c:v>
                </c:pt>
                <c:pt idx="199">
                  <c:v>6437</c:v>
                </c:pt>
              </c:numCache>
            </c:numRef>
          </c:val>
          <c:smooth val="0"/>
          <c:extLst>
            <c:ext xmlns:c16="http://schemas.microsoft.com/office/drawing/2014/chart" uri="{C3380CC4-5D6E-409C-BE32-E72D297353CC}">
              <c16:uniqueId val="{00000000-AC00-465D-8A11-919E2B5B4A75}"/>
            </c:ext>
          </c:extLst>
        </c:ser>
        <c:dLbls>
          <c:showLegendKey val="0"/>
          <c:showVal val="0"/>
          <c:showCatName val="0"/>
          <c:showSerName val="0"/>
          <c:showPercent val="0"/>
          <c:showBubbleSize val="0"/>
        </c:dLbls>
        <c:marker val="1"/>
        <c:smooth val="0"/>
        <c:axId val="584580064"/>
        <c:axId val="584581504"/>
      </c:lineChart>
      <c:catAx>
        <c:axId val="58458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581504"/>
        <c:crosses val="autoZero"/>
        <c:auto val="1"/>
        <c:lblAlgn val="ctr"/>
        <c:lblOffset val="100"/>
        <c:noMultiLvlLbl val="0"/>
      </c:catAx>
      <c:valAx>
        <c:axId val="58458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58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[Excel_Data_Analytics_Dataset Answers.xlsx]PivotTableSectionG!salespersonRank</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Person</a:t>
            </a:r>
            <a:r>
              <a:rPr lang="en-US" baseline="0"/>
              <a:t> Ranking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PivotTableSectionG!$B$33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PivotTableSectionG!$A$34:$A$38</c:f>
              <c:strCache>
                <c:ptCount val="5"/>
                <c:pt idx="0">
                  <c:v>Aisha</c:v>
                </c:pt>
                <c:pt idx="1">
                  <c:v>Farhan</c:v>
                </c:pt>
                <c:pt idx="2">
                  <c:v>Nikhil</c:v>
                </c:pt>
                <c:pt idx="3">
                  <c:v>Rahul</c:v>
                </c:pt>
                <c:pt idx="4">
                  <c:v>Sneha</c:v>
                </c:pt>
              </c:strCache>
            </c:strRef>
          </c:cat>
          <c:val>
            <c:numRef>
              <c:f>PivotTableSectionG!$B$34:$B$38</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3596-46FF-BC42-9610F1F05CAD}"/>
            </c:ext>
          </c:extLst>
        </c:ser>
        <c:dLbls>
          <c:showLegendKey val="0"/>
          <c:showVal val="0"/>
          <c:showCatName val="0"/>
          <c:showSerName val="0"/>
          <c:showPercent val="0"/>
          <c:showBubbleSize val="0"/>
        </c:dLbls>
        <c:gapWidth val="65"/>
        <c:shape val="box"/>
        <c:axId val="584588224"/>
        <c:axId val="584577184"/>
        <c:axId val="0"/>
      </c:bar3DChart>
      <c:catAx>
        <c:axId val="5845882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4577184"/>
        <c:crosses val="max"/>
        <c:auto val="1"/>
        <c:lblAlgn val="ctr"/>
        <c:lblOffset val="100"/>
        <c:noMultiLvlLbl val="0"/>
      </c:catAx>
      <c:valAx>
        <c:axId val="584577184"/>
        <c:scaling>
          <c:orientation val="maxMin"/>
        </c:scaling>
        <c:delete val="0"/>
        <c:axPos val="l"/>
        <c:numFmt formatCode="General" sourceLinked="1"/>
        <c:majorTickMark val="none"/>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458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[Excel_Data_Analytics_Dataset Answers.xlsx]PivotTableSectionG!RegionSale</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Revenue by Region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PivotTableSectionG!$B$3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PivotTableSectionG!$A$4:$A$8</c:f>
              <c:strCache>
                <c:ptCount val="4"/>
                <c:pt idx="0">
                  <c:v>West</c:v>
                </c:pt>
                <c:pt idx="1">
                  <c:v>South</c:v>
                </c:pt>
                <c:pt idx="2">
                  <c:v>East</c:v>
                </c:pt>
                <c:pt idx="3">
                  <c:v>North</c:v>
                </c:pt>
              </c:strCache>
            </c:strRef>
          </c:cat>
          <c:val>
            <c:numRef>
              <c:f>PivotTableSectionG!$B$4:$B$8</c:f>
              <c:numCache>
                <c:formatCode>General</c:formatCode>
                <c:ptCount val="4"/>
                <c:pt idx="0">
                  <c:v>881864</c:v>
                </c:pt>
                <c:pt idx="1">
                  <c:v>866015</c:v>
                </c:pt>
                <c:pt idx="2">
                  <c:v>788936</c:v>
                </c:pt>
                <c:pt idx="3">
                  <c:v>698385</c:v>
                </c:pt>
              </c:numCache>
            </c:numRef>
          </c:val>
          <c:extLst>
            <c:ext xmlns:c16="http://schemas.microsoft.com/office/drawing/2014/chart" uri="{C3380CC4-5D6E-409C-BE32-E72D297353CC}">
              <c16:uniqueId val="{00000000-DFB7-4A0A-BA2A-2B55F835B610}"/>
            </c:ext>
          </c:extLst>
        </c:ser>
        <c:dLbls>
          <c:showLegendKey val="0"/>
          <c:showVal val="0"/>
          <c:showCatName val="0"/>
          <c:showSerName val="0"/>
          <c:showPercent val="0"/>
          <c:showBubbleSize val="0"/>
        </c:dLbls>
        <c:gapWidth val="65"/>
        <c:shape val="box"/>
        <c:axId val="464695376"/>
        <c:axId val="215315072"/>
        <c:axId val="0"/>
      </c:bar3DChart>
      <c:catAx>
        <c:axId val="4646953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5315072"/>
        <c:crosses val="autoZero"/>
        <c:auto val="1"/>
        <c:lblAlgn val="ctr"/>
        <c:lblOffset val="100"/>
        <c:noMultiLvlLbl val="0"/>
      </c:catAx>
      <c:valAx>
        <c:axId val="2153150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46953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[Excel_Data_Analytics_Dataset Answers.xlsx]PivotTableSectionG!MonthlySalesSummary</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Sale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PivotTableSectionG!$K$3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PivotTableSectionG!$J$4:$J$11</c:f>
              <c:strCache>
                <c:ptCount val="7"/>
                <c:pt idx="0">
                  <c:v>Jan</c:v>
                </c:pt>
                <c:pt idx="1">
                  <c:v>Feb</c:v>
                </c:pt>
                <c:pt idx="2">
                  <c:v>Mar</c:v>
                </c:pt>
                <c:pt idx="3">
                  <c:v>Apr</c:v>
                </c:pt>
                <c:pt idx="4">
                  <c:v>May</c:v>
                </c:pt>
                <c:pt idx="5">
                  <c:v>Jun</c:v>
                </c:pt>
                <c:pt idx="6">
                  <c:v>Jul</c:v>
                </c:pt>
              </c:strCache>
            </c:strRef>
          </c:cat>
          <c:val>
            <c:numRef>
              <c:f>PivotTableSectionG!$K$4:$K$11</c:f>
              <c:numCache>
                <c:formatCode>General</c:formatCode>
                <c:ptCount val="7"/>
                <c:pt idx="0">
                  <c:v>458875</c:v>
                </c:pt>
                <c:pt idx="1">
                  <c:v>466579</c:v>
                </c:pt>
                <c:pt idx="2">
                  <c:v>534382</c:v>
                </c:pt>
                <c:pt idx="3">
                  <c:v>468761</c:v>
                </c:pt>
                <c:pt idx="4">
                  <c:v>545139</c:v>
                </c:pt>
                <c:pt idx="5">
                  <c:v>456613</c:v>
                </c:pt>
                <c:pt idx="6">
                  <c:v>304851</c:v>
                </c:pt>
              </c:numCache>
            </c:numRef>
          </c:val>
          <c:smooth val="0"/>
          <c:extLst>
            <c:ext xmlns:c16="http://schemas.microsoft.com/office/drawing/2014/chart" uri="{C3380CC4-5D6E-409C-BE32-E72D297353CC}">
              <c16:uniqueId val="{00000001-663E-4905-8879-B4E8F2015628}"/>
            </c:ext>
          </c:extLst>
        </c:ser>
        <c:dLbls>
          <c:dLblPos val="ctr"/>
          <c:showLegendKey val="0"/>
          <c:showVal val="1"/>
          <c:showCatName val="0"/>
          <c:showSerName val="0"/>
          <c:showPercent val="0"/>
          <c:showBubbleSize val="0"/>
        </c:dLbls>
        <c:marker val="1"/>
        <c:smooth val="0"/>
        <c:axId val="881148336"/>
        <c:axId val="881145936"/>
      </c:lineChart>
      <c:catAx>
        <c:axId val="88114833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1145936"/>
        <c:crosses val="autoZero"/>
        <c:auto val="1"/>
        <c:lblAlgn val="ctr"/>
        <c:lblOffset val="100"/>
        <c:noMultiLvlLbl val="0"/>
      </c:catAx>
      <c:valAx>
        <c:axId val="881145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1148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[Excel_Data_Analytics_Dataset Answers.xlsx]PivotTableSectionG!Product_Profit</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PivotTableSectionG!$E$3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PivotTableSectionG!$D$4:$D$12</c:f>
              <c:strCache>
                <c:ptCount val="8"/>
                <c:pt idx="0">
                  <c:v>Desk</c:v>
                </c:pt>
                <c:pt idx="1">
                  <c:v>Laptop</c:v>
                </c:pt>
                <c:pt idx="2">
                  <c:v>Tablet</c:v>
                </c:pt>
                <c:pt idx="3">
                  <c:v>Mobile</c:v>
                </c:pt>
                <c:pt idx="4">
                  <c:v>Cupboard</c:v>
                </c:pt>
                <c:pt idx="5">
                  <c:v>Headphones</c:v>
                </c:pt>
                <c:pt idx="6">
                  <c:v>Table</c:v>
                </c:pt>
                <c:pt idx="7">
                  <c:v>Chair</c:v>
                </c:pt>
              </c:strCache>
            </c:strRef>
          </c:cat>
          <c:val>
            <c:numRef>
              <c:f>PivotTableSectionG!$E$4:$E$12</c:f>
              <c:numCache>
                <c:formatCode>General</c:formatCode>
                <c:ptCount val="8"/>
                <c:pt idx="0">
                  <c:v>116163</c:v>
                </c:pt>
                <c:pt idx="1">
                  <c:v>110535</c:v>
                </c:pt>
                <c:pt idx="2">
                  <c:v>104776</c:v>
                </c:pt>
                <c:pt idx="3">
                  <c:v>99690</c:v>
                </c:pt>
                <c:pt idx="4">
                  <c:v>96237</c:v>
                </c:pt>
                <c:pt idx="5">
                  <c:v>95108</c:v>
                </c:pt>
                <c:pt idx="6">
                  <c:v>89706</c:v>
                </c:pt>
                <c:pt idx="7">
                  <c:v>75851</c:v>
                </c:pt>
              </c:numCache>
            </c:numRef>
          </c:val>
          <c:extLst>
            <c:ext xmlns:c16="http://schemas.microsoft.com/office/drawing/2014/chart" uri="{C3380CC4-5D6E-409C-BE32-E72D297353CC}">
              <c16:uniqueId val="{00000000-792E-4D9C-A861-9DB79A3FD0E5}"/>
            </c:ext>
          </c:extLst>
        </c:ser>
        <c:dLbls>
          <c:dLblPos val="inEnd"/>
          <c:showLegendKey val="0"/>
          <c:showVal val="1"/>
          <c:showCatName val="0"/>
          <c:showSerName val="0"/>
          <c:showPercent val="0"/>
          <c:showBubbleSize val="0"/>
        </c:dLbls>
        <c:gapWidth val="65"/>
        <c:axId val="864372608"/>
        <c:axId val="864387008"/>
      </c:barChart>
      <c:catAx>
        <c:axId val="864372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387008"/>
        <c:crosses val="autoZero"/>
        <c:auto val="1"/>
        <c:lblAlgn val="ctr"/>
        <c:lblOffset val="100"/>
        <c:noMultiLvlLbl val="0"/>
      </c:catAx>
      <c:valAx>
        <c:axId val="8643870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4372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[Excel_Data_Analytics_Dataset Answers.xlsx]PivotTableSectionG!Salesperson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PivotTableSectionG!$B$41</c:f>
              <c:strCache>
                <c:ptCount val="1"/>
                <c:pt idx="0">
                  <c:v>Total</c:v>
                </c:pt>
              </c:strCache>
            </c:strRef>
          </c:tx>
          <c:spPr>
            <a:solidFill>
              <a:schemeClr val="accent1"/>
            </a:solidFill>
            <a:ln>
              <a:noFill/>
            </a:ln>
            <a:effectLst/>
          </c:spPr>
          <c:invertIfNegative val="0"/>
          <c:cat>
            <c:strRef>
              <c:f>PivotTableSectionG!$A$42:$A$46</c:f>
              <c:strCache>
                <c:ptCount val="5"/>
                <c:pt idx="0">
                  <c:v>Aisha</c:v>
                </c:pt>
                <c:pt idx="1">
                  <c:v>Farhan</c:v>
                </c:pt>
                <c:pt idx="2">
                  <c:v>Nikhil</c:v>
                </c:pt>
                <c:pt idx="3">
                  <c:v>Rahul</c:v>
                </c:pt>
                <c:pt idx="4">
                  <c:v>Sneha</c:v>
                </c:pt>
              </c:strCache>
            </c:strRef>
          </c:cat>
          <c:val>
            <c:numRef>
              <c:f>PivotTableSectionG!$B$42:$B$46</c:f>
              <c:numCache>
                <c:formatCode>General</c:formatCode>
                <c:ptCount val="5"/>
                <c:pt idx="0">
                  <c:v>750452</c:v>
                </c:pt>
                <c:pt idx="1">
                  <c:v>693403</c:v>
                </c:pt>
                <c:pt idx="2">
                  <c:v>648534</c:v>
                </c:pt>
                <c:pt idx="3">
                  <c:v>633574</c:v>
                </c:pt>
                <c:pt idx="4">
                  <c:v>509237</c:v>
                </c:pt>
              </c:numCache>
            </c:numRef>
          </c:val>
          <c:extLst>
            <c:ext xmlns:c16="http://schemas.microsoft.com/office/drawing/2014/chart" uri="{C3380CC4-5D6E-409C-BE32-E72D297353CC}">
              <c16:uniqueId val="{00000000-BD8D-4903-937B-DF5EF6BCE87C}"/>
            </c:ext>
          </c:extLst>
        </c:ser>
        <c:dLbls>
          <c:showLegendKey val="0"/>
          <c:showVal val="0"/>
          <c:showCatName val="0"/>
          <c:showSerName val="0"/>
          <c:showPercent val="0"/>
          <c:showBubbleSize val="0"/>
        </c:dLbls>
        <c:gapWidth val="182"/>
        <c:axId val="625268720"/>
        <c:axId val="625269680"/>
      </c:barChart>
      <c:catAx>
        <c:axId val="62526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69680"/>
        <c:crosses val="autoZero"/>
        <c:auto val="1"/>
        <c:lblAlgn val="ctr"/>
        <c:lblOffset val="100"/>
        <c:noMultiLvlLbl val="0"/>
      </c:catAx>
      <c:valAx>
        <c:axId val="62526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[Excel_Data_Analytics_Dataset Answers.xlsx]PivotTableSectionG!RegionSale</c:name>
    <c:fmtId val="10"/>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sz="1600" b="1" baseline="0">
                <a:solidFill>
                  <a:srgbClr val="002060"/>
                </a:solidFill>
              </a:rPr>
              <a:t>Sales Revenue by Region</a:t>
            </a:r>
          </a:p>
        </c:rich>
      </c:tx>
      <c:layout>
        <c:manualLayout>
          <c:xMode val="edge"/>
          <c:yMode val="edge"/>
          <c:x val="0.22975455909880071"/>
          <c:y val="3.532008338877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964768722412727"/>
          <c:y val="0.21255626183361853"/>
          <c:w val="0.63413946856247694"/>
          <c:h val="0.57468779271171466"/>
        </c:manualLayout>
      </c:layout>
      <c:bar3DChart>
        <c:barDir val="bar"/>
        <c:grouping val="stacked"/>
        <c:varyColors val="0"/>
        <c:ser>
          <c:idx val="0"/>
          <c:order val="0"/>
          <c:tx>
            <c:strRef>
              <c:f>PivotTableSectionG!$B$3</c:f>
              <c:strCache>
                <c:ptCount val="1"/>
                <c:pt idx="0">
                  <c:v>Total</c:v>
                </c:pt>
              </c:strCache>
            </c:strRef>
          </c:tx>
          <c:spPr>
            <a:solidFill>
              <a:schemeClr val="tx2">
                <a:lumMod val="25000"/>
                <a:lumOff val="75000"/>
              </a:schemeClr>
            </a:solidFill>
            <a:ln>
              <a:noFill/>
            </a:ln>
            <a:effectLst/>
            <a:sp3d/>
          </c:spPr>
          <c:invertIfNegative val="0"/>
          <c:cat>
            <c:strRef>
              <c:f>PivotTableSectionG!$A$4:$A$8</c:f>
              <c:strCache>
                <c:ptCount val="4"/>
                <c:pt idx="0">
                  <c:v>West</c:v>
                </c:pt>
                <c:pt idx="1">
                  <c:v>South</c:v>
                </c:pt>
                <c:pt idx="2">
                  <c:v>East</c:v>
                </c:pt>
                <c:pt idx="3">
                  <c:v>North</c:v>
                </c:pt>
              </c:strCache>
            </c:strRef>
          </c:cat>
          <c:val>
            <c:numRef>
              <c:f>PivotTableSectionG!$B$4:$B$8</c:f>
              <c:numCache>
                <c:formatCode>General</c:formatCode>
                <c:ptCount val="4"/>
                <c:pt idx="0">
                  <c:v>881864</c:v>
                </c:pt>
                <c:pt idx="1">
                  <c:v>866015</c:v>
                </c:pt>
                <c:pt idx="2">
                  <c:v>788936</c:v>
                </c:pt>
                <c:pt idx="3">
                  <c:v>698385</c:v>
                </c:pt>
              </c:numCache>
            </c:numRef>
          </c:val>
          <c:extLst>
            <c:ext xmlns:c16="http://schemas.microsoft.com/office/drawing/2014/chart" uri="{C3380CC4-5D6E-409C-BE32-E72D297353CC}">
              <c16:uniqueId val="{00000000-2F6A-45DE-9252-87F410AB08B1}"/>
            </c:ext>
          </c:extLst>
        </c:ser>
        <c:dLbls>
          <c:showLegendKey val="0"/>
          <c:showVal val="0"/>
          <c:showCatName val="0"/>
          <c:showSerName val="0"/>
          <c:showPercent val="0"/>
          <c:showBubbleSize val="0"/>
        </c:dLbls>
        <c:gapWidth val="126"/>
        <c:gapDepth val="32"/>
        <c:shape val="cylinder"/>
        <c:axId val="140204736"/>
        <c:axId val="140215296"/>
        <c:axId val="0"/>
      </c:bar3DChart>
      <c:catAx>
        <c:axId val="140204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40215296"/>
        <c:crosses val="autoZero"/>
        <c:auto val="1"/>
        <c:lblAlgn val="ctr"/>
        <c:lblOffset val="100"/>
        <c:noMultiLvlLbl val="0"/>
      </c:catAx>
      <c:valAx>
        <c:axId val="1402152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2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95686"/>
      </a:schemeClr>
    </a:solidFill>
    <a:ln w="9525" cap="flat" cmpd="sng" algn="ctr">
      <a:noFill/>
      <a:round/>
    </a:ln>
    <a:effectLst>
      <a:innerShdw blurRad="63500" dist="50800" dir="18900000">
        <a:prstClr val="black">
          <a:alpha val="50000"/>
        </a:prstClr>
      </a:innerShdw>
    </a:effectLst>
    <a:scene3d>
      <a:camera prst="orthographicFront"/>
      <a:lightRig rig="threePt" dir="t"/>
    </a:scene3d>
    <a:sp3d>
      <a:bevelT/>
    </a:sp3d>
  </c:spPr>
  <c:txPr>
    <a:bodyPr/>
    <a:lstStyle/>
    <a:p>
      <a:pPr>
        <a:defRPr>
          <a:solidFill>
            <a:schemeClr val="accent1">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[Excel_Data_Analytics_Dataset Answers.xlsx]PivotTableSectionG!Category/sales</c:name>
    <c:fmtId val="11"/>
  </c:pivotSource>
  <c:chart>
    <c:title>
      <c:tx>
        <c:rich>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n-cs"/>
              </a:defRPr>
            </a:pPr>
            <a:r>
              <a:rPr lang="en-US" sz="1400" baseline="0">
                <a:solidFill>
                  <a:schemeClr val="tx2">
                    <a:lumMod val="50000"/>
                    <a:lumOff val="50000"/>
                  </a:schemeClr>
                </a:solidFill>
              </a:rPr>
              <a:t>Product Category Share</a:t>
            </a:r>
          </a:p>
        </c:rich>
      </c:tx>
      <c:layout>
        <c:manualLayout>
          <c:xMode val="edge"/>
          <c:yMode val="edge"/>
          <c:x val="0.22186666666666666"/>
          <c:y val="6.0699514229685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bg1">
              <a:lumMod val="9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75000"/>
              <a:lumOff val="25000"/>
            </a:schemeClr>
          </a:solidFill>
          <a:ln w="19050">
            <a:solidFill>
              <a:schemeClr val="lt1"/>
            </a:solidFill>
          </a:ln>
          <a:effectLst/>
        </c:spPr>
      </c:pivotFmt>
      <c:pivotFmt>
        <c:idx val="12"/>
        <c:spPr>
          <a:solidFill>
            <a:schemeClr val="tx2">
              <a:lumMod val="25000"/>
              <a:lumOff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fld id="{F0180D7F-FEA3-4E03-8FFE-2D395D5DA2A4}" type="PERCENTAGE">
                  <a:rPr lang="en-US" b="1">
                    <a:solidFill>
                      <a:schemeClr val="bg2"/>
                    </a:solidFill>
                  </a:rPr>
                  <a:pPr>
                    <a:defRPr>
                      <a:solidFill>
                        <a:schemeClr val="dk1"/>
                      </a:solidFill>
                    </a:defRPr>
                  </a:pPr>
                  <a:t>[PERCENTAGE]</a:t>
                </a:fld>
                <a:endParaRPr lang="en-US"/>
              </a:p>
            </c:rich>
          </c:tx>
          <c:spPr>
            <a:noFill/>
            <a:ln w="1905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1.0996562780415959E-2"/>
          <c:y val="0.25342782152230969"/>
          <c:w val="0.98900343721958406"/>
          <c:h val="0.69167060367454059"/>
        </c:manualLayout>
      </c:layout>
      <c:doughnutChart>
        <c:varyColors val="1"/>
        <c:ser>
          <c:idx val="0"/>
          <c:order val="0"/>
          <c:tx>
            <c:strRef>
              <c:f>PivotTableSectionG!$H$17</c:f>
              <c:strCache>
                <c:ptCount val="1"/>
                <c:pt idx="0">
                  <c:v>Total</c:v>
                </c:pt>
              </c:strCache>
            </c:strRef>
          </c:tx>
          <c:spPr>
            <a:solidFill>
              <a:schemeClr val="bg1">
                <a:lumMod val="95000"/>
              </a:schemeClr>
            </a:solidFill>
          </c:spPr>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5E10-4C12-8BC0-A8D375880A92}"/>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2-E65D-444F-8F2B-721E688EB11A}"/>
              </c:ext>
            </c:extLst>
          </c:dPt>
          <c:dLbls>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fld id="{F0180D7F-FEA3-4E03-8FFE-2D395D5DA2A4}" type="PERCENTAGE">
                      <a:rPr lang="en-US" b="1">
                        <a:solidFill>
                          <a:schemeClr val="bg2"/>
                        </a:solidFill>
                      </a:rPr>
                      <a:pPr>
                        <a:defRPr>
                          <a:solidFill>
                            <a:schemeClr val="dk1"/>
                          </a:solidFill>
                        </a:defRPr>
                      </a:pPr>
                      <a:t>[PERCENTAGE]</a:t>
                    </a:fld>
                    <a:endParaRPr lang="en-US"/>
                  </a:p>
                </c:rich>
              </c:tx>
              <c:spPr>
                <a:noFill/>
                <a:ln w="1905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65D-444F-8F2B-721E688EB1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PivotTableSectionG!$G$18:$G$20</c:f>
              <c:strCache>
                <c:ptCount val="2"/>
                <c:pt idx="0">
                  <c:v>Electronics</c:v>
                </c:pt>
                <c:pt idx="1">
                  <c:v>Furniture</c:v>
                </c:pt>
              </c:strCache>
            </c:strRef>
          </c:cat>
          <c:val>
            <c:numRef>
              <c:f>PivotTableSectionG!$H$18:$H$20</c:f>
              <c:numCache>
                <c:formatCode>General</c:formatCode>
                <c:ptCount val="2"/>
                <c:pt idx="0">
                  <c:v>1638383</c:v>
                </c:pt>
                <c:pt idx="1">
                  <c:v>1596817</c:v>
                </c:pt>
              </c:numCache>
            </c:numRef>
          </c:val>
          <c:extLst>
            <c:ext xmlns:c16="http://schemas.microsoft.com/office/drawing/2014/chart" uri="{C3380CC4-5D6E-409C-BE32-E72D297353CC}">
              <c16:uniqueId val="{00000004-5E10-4C12-8BC0-A8D375880A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95686"/>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[Excel_Data_Analytics_Dataset Answers.xlsx]PivotTableSectionG!MonthlySalesSummary</c:name>
    <c:fmtId val="19"/>
  </c:pivotSource>
  <c:chart>
    <c:title>
      <c:tx>
        <c:rich>
          <a:bodyPr rot="0" spcFirstLastPara="1" vertOverflow="ellipsis" vert="horz" wrap="square" anchor="ctr" anchorCtr="1"/>
          <a:lstStyle/>
          <a:p>
            <a:pPr>
              <a:defRPr sz="1600" b="1" i="0" u="none" strike="noStrike" kern="1200" baseline="0">
                <a:solidFill>
                  <a:srgbClr val="2C31F0"/>
                </a:solidFill>
                <a:latin typeface="+mn-lt"/>
                <a:ea typeface="+mn-ea"/>
                <a:cs typeface="+mn-cs"/>
              </a:defRPr>
            </a:pPr>
            <a:r>
              <a:rPr lang="en-US" baseline="0">
                <a:solidFill>
                  <a:srgbClr val="002060"/>
                </a:solidFill>
              </a:rPr>
              <a:t>Month Sales</a:t>
            </a:r>
          </a:p>
          <a:p>
            <a:pPr>
              <a:defRPr>
                <a:solidFill>
                  <a:srgbClr val="2C31F0"/>
                </a:solidFill>
              </a:defRPr>
            </a:pPr>
            <a:endParaRPr lang="en-US" baseline="0">
              <a:solidFill>
                <a:srgbClr val="2C31F0"/>
              </a:solidFill>
            </a:endParaRPr>
          </a:p>
        </c:rich>
      </c:tx>
      <c:layout>
        <c:manualLayout>
          <c:xMode val="edge"/>
          <c:yMode val="edge"/>
          <c:x val="0.31821327443095382"/>
          <c:y val="8.2507333642118277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31F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tx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ln w="34925" cap="rnd">
            <a:solidFill>
              <a:schemeClr val="tx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4890565434705452"/>
          <c:y val="0.23644464834731804"/>
          <c:w val="0.82075300154998343"/>
          <c:h val="0.69046279429822544"/>
        </c:manualLayout>
      </c:layout>
      <c:lineChart>
        <c:grouping val="stacked"/>
        <c:varyColors val="0"/>
        <c:ser>
          <c:idx val="0"/>
          <c:order val="0"/>
          <c:tx>
            <c:strRef>
              <c:f>PivotTableSectionG!$K$3</c:f>
              <c:strCache>
                <c:ptCount val="1"/>
                <c:pt idx="0">
                  <c:v>Total</c:v>
                </c:pt>
              </c:strCache>
            </c:strRef>
          </c:tx>
          <c:spPr>
            <a:ln w="34925" cap="rnd">
              <a:solidFill>
                <a:schemeClr val="tx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PivotTableSectionG!$J$4:$J$11</c:f>
              <c:strCache>
                <c:ptCount val="7"/>
                <c:pt idx="0">
                  <c:v>Jan</c:v>
                </c:pt>
                <c:pt idx="1">
                  <c:v>Feb</c:v>
                </c:pt>
                <c:pt idx="2">
                  <c:v>Mar</c:v>
                </c:pt>
                <c:pt idx="3">
                  <c:v>Apr</c:v>
                </c:pt>
                <c:pt idx="4">
                  <c:v>May</c:v>
                </c:pt>
                <c:pt idx="5">
                  <c:v>Jun</c:v>
                </c:pt>
                <c:pt idx="6">
                  <c:v>Jul</c:v>
                </c:pt>
              </c:strCache>
            </c:strRef>
          </c:cat>
          <c:val>
            <c:numRef>
              <c:f>PivotTableSectionG!$K$4:$K$11</c:f>
              <c:numCache>
                <c:formatCode>General</c:formatCode>
                <c:ptCount val="7"/>
                <c:pt idx="0">
                  <c:v>458875</c:v>
                </c:pt>
                <c:pt idx="1">
                  <c:v>466579</c:v>
                </c:pt>
                <c:pt idx="2">
                  <c:v>534382</c:v>
                </c:pt>
                <c:pt idx="3">
                  <c:v>468761</c:v>
                </c:pt>
                <c:pt idx="4">
                  <c:v>545139</c:v>
                </c:pt>
                <c:pt idx="5">
                  <c:v>456613</c:v>
                </c:pt>
                <c:pt idx="6">
                  <c:v>304851</c:v>
                </c:pt>
              </c:numCache>
            </c:numRef>
          </c:val>
          <c:smooth val="0"/>
          <c:extLst>
            <c:ext xmlns:c16="http://schemas.microsoft.com/office/drawing/2014/chart" uri="{C3380CC4-5D6E-409C-BE32-E72D297353CC}">
              <c16:uniqueId val="{00000000-BE65-41D5-82A5-9673AC9199EB}"/>
            </c:ext>
          </c:extLst>
        </c:ser>
        <c:dLbls>
          <c:showLegendKey val="0"/>
          <c:showVal val="0"/>
          <c:showCatName val="0"/>
          <c:showSerName val="0"/>
          <c:showPercent val="0"/>
          <c:showBubbleSize val="0"/>
        </c:dLbls>
        <c:marker val="1"/>
        <c:smooth val="0"/>
        <c:axId val="881148336"/>
        <c:axId val="881145936"/>
      </c:lineChart>
      <c:catAx>
        <c:axId val="8811483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5936"/>
        <c:crosses val="autoZero"/>
        <c:auto val="1"/>
        <c:lblAlgn val="ctr"/>
        <c:lblOffset val="100"/>
        <c:noMultiLvlLbl val="0"/>
      </c:catAx>
      <c:valAx>
        <c:axId val="881145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881148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95686"/>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[Excel_Data_Analytics_Dataset Answers.xlsx]PivotTableSectionG!Product_Profit</c:name>
    <c:fmtId val="17"/>
  </c:pivotSource>
  <c:chart>
    <c:title>
      <c:tx>
        <c:rich>
          <a:bodyPr rot="0" spcFirstLastPara="1" vertOverflow="ellipsis" vert="horz" wrap="square" anchor="ctr" anchorCtr="1"/>
          <a:lstStyle/>
          <a:p>
            <a:pPr>
              <a:defRPr sz="1800" b="1" i="0" u="none" strike="noStrike" kern="1200" baseline="0">
                <a:solidFill>
                  <a:schemeClr val="accent1">
                    <a:lumMod val="60000"/>
                    <a:lumOff val="40000"/>
                  </a:schemeClr>
                </a:solidFill>
                <a:latin typeface="+mn-lt"/>
                <a:ea typeface="+mn-ea"/>
                <a:cs typeface="+mn-cs"/>
              </a:defRPr>
            </a:pPr>
            <a:r>
              <a:rPr lang="en-US" sz="1600" baseline="0">
                <a:solidFill>
                  <a:schemeClr val="accent1">
                    <a:lumMod val="60000"/>
                    <a:lumOff val="40000"/>
                  </a:schemeClr>
                </a:solidFill>
              </a:rPr>
              <a:t>Product Profit</a:t>
            </a:r>
          </a:p>
        </c:rich>
      </c:tx>
      <c:layout>
        <c:manualLayout>
          <c:xMode val="edge"/>
          <c:yMode val="edge"/>
          <c:x val="0.25840594835120012"/>
          <c:y val="5.50383116495286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60000"/>
                  <a:lumOff val="40000"/>
                </a:schemeClr>
              </a:solidFill>
              <a:latin typeface="+mn-lt"/>
              <a:ea typeface="+mn-ea"/>
              <a:cs typeface="+mn-cs"/>
            </a:defRPr>
          </a:pPr>
          <a:endParaRPr lang="en-US"/>
        </a:p>
      </c:txPr>
    </c:title>
    <c:autoTitleDeleted val="0"/>
    <c:pivotFmts>
      <c:pivotFmt>
        <c:idx val="0"/>
      </c:pivotFmt>
      <c:pivotFmt>
        <c:idx val="1"/>
      </c:pivotFmt>
      <c:pivotFmt>
        <c:idx val="2"/>
        <c:spPr>
          <a:solidFill>
            <a:schemeClr val="dk1">
              <a:tint val="88500"/>
              <a:alpha val="85000"/>
            </a:schemeClr>
          </a:solidFill>
          <a:ln w="9525" cap="flat" cmpd="sng" algn="ctr">
            <a:solidFill>
              <a:schemeClr val="lt1">
                <a:alpha val="50000"/>
              </a:schemeClr>
            </a:solidFill>
            <a:round/>
          </a:ln>
          <a:effectLst/>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w="9525" cap="flat" cmpd="sng" algn="ctr">
            <a:solidFill>
              <a:schemeClr val="lt1">
                <a:alpha val="50000"/>
              </a:schemeClr>
            </a:solidFill>
            <a:round/>
          </a:ln>
          <a:effectLst/>
        </c:spPr>
      </c:pivotFmt>
    </c:pivotFmts>
    <c:plotArea>
      <c:layout>
        <c:manualLayout>
          <c:layoutTarget val="inner"/>
          <c:xMode val="edge"/>
          <c:yMode val="edge"/>
          <c:x val="0.31075509137841401"/>
          <c:y val="0.17478959077832748"/>
          <c:w val="0.57794825995772592"/>
          <c:h val="0.751880874668027"/>
        </c:manualLayout>
      </c:layout>
      <c:barChart>
        <c:barDir val="bar"/>
        <c:grouping val="clustered"/>
        <c:varyColors val="0"/>
        <c:ser>
          <c:idx val="0"/>
          <c:order val="0"/>
          <c:tx>
            <c:strRef>
              <c:f>PivotTableSectionG!$E$3</c:f>
              <c:strCache>
                <c:ptCount val="1"/>
                <c:pt idx="0">
                  <c:v>Total</c:v>
                </c:pt>
              </c:strCache>
            </c:strRef>
          </c:tx>
          <c:spPr>
            <a:solidFill>
              <a:schemeClr val="tx2">
                <a:lumMod val="25000"/>
                <a:lumOff val="75000"/>
              </a:schemeClr>
            </a:solidFill>
            <a:ln w="9525" cap="flat" cmpd="sng" algn="ctr">
              <a:solidFill>
                <a:schemeClr val="lt1">
                  <a:alpha val="50000"/>
                </a:schemeClr>
              </a:solidFill>
              <a:round/>
            </a:ln>
            <a:effectLst/>
          </c:spPr>
          <c:invertIfNegative val="0"/>
          <c:cat>
            <c:strRef>
              <c:f>PivotTableSectionG!$D$4:$D$12</c:f>
              <c:strCache>
                <c:ptCount val="8"/>
                <c:pt idx="0">
                  <c:v>Desk</c:v>
                </c:pt>
                <c:pt idx="1">
                  <c:v>Laptop</c:v>
                </c:pt>
                <c:pt idx="2">
                  <c:v>Tablet</c:v>
                </c:pt>
                <c:pt idx="3">
                  <c:v>Mobile</c:v>
                </c:pt>
                <c:pt idx="4">
                  <c:v>Cupboard</c:v>
                </c:pt>
                <c:pt idx="5">
                  <c:v>Headphones</c:v>
                </c:pt>
                <c:pt idx="6">
                  <c:v>Table</c:v>
                </c:pt>
                <c:pt idx="7">
                  <c:v>Chair</c:v>
                </c:pt>
              </c:strCache>
            </c:strRef>
          </c:cat>
          <c:val>
            <c:numRef>
              <c:f>PivotTableSectionG!$E$4:$E$12</c:f>
              <c:numCache>
                <c:formatCode>General</c:formatCode>
                <c:ptCount val="8"/>
                <c:pt idx="0">
                  <c:v>116163</c:v>
                </c:pt>
                <c:pt idx="1">
                  <c:v>110535</c:v>
                </c:pt>
                <c:pt idx="2">
                  <c:v>104776</c:v>
                </c:pt>
                <c:pt idx="3">
                  <c:v>99690</c:v>
                </c:pt>
                <c:pt idx="4">
                  <c:v>96237</c:v>
                </c:pt>
                <c:pt idx="5">
                  <c:v>95108</c:v>
                </c:pt>
                <c:pt idx="6">
                  <c:v>89706</c:v>
                </c:pt>
                <c:pt idx="7">
                  <c:v>75851</c:v>
                </c:pt>
              </c:numCache>
            </c:numRef>
          </c:val>
          <c:extLst>
            <c:ext xmlns:c16="http://schemas.microsoft.com/office/drawing/2014/chart" uri="{C3380CC4-5D6E-409C-BE32-E72D297353CC}">
              <c16:uniqueId val="{00000000-52E7-400D-BDFC-678B084E435B}"/>
            </c:ext>
          </c:extLst>
        </c:ser>
        <c:dLbls>
          <c:showLegendKey val="0"/>
          <c:showVal val="0"/>
          <c:showCatName val="0"/>
          <c:showSerName val="0"/>
          <c:showPercent val="0"/>
          <c:showBubbleSize val="0"/>
        </c:dLbls>
        <c:gapWidth val="65"/>
        <c:axId val="864372608"/>
        <c:axId val="864387008"/>
      </c:barChart>
      <c:catAx>
        <c:axId val="864372608"/>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387008"/>
        <c:crosses val="autoZero"/>
        <c:auto val="1"/>
        <c:lblAlgn val="ctr"/>
        <c:lblOffset val="100"/>
        <c:noMultiLvlLbl val="0"/>
      </c:catAx>
      <c:valAx>
        <c:axId val="864387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437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[Excel_Data_Analytics_Dataset Answers.xlsx]PivotTableSectionG!Salesperson</c:name>
    <c:fmtId val="9"/>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b="1" baseline="0">
                <a:solidFill>
                  <a:srgbClr val="002060"/>
                </a:solidFill>
              </a:rPr>
              <a:t>Sales Person Ranking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794980851589779E-2"/>
          <c:y val="8.4869431321084862E-2"/>
          <c:w val="0.73733420533798999"/>
          <c:h val="0.79814271216097998"/>
        </c:manualLayout>
      </c:layout>
      <c:bar3DChart>
        <c:barDir val="col"/>
        <c:grouping val="standard"/>
        <c:varyColors val="0"/>
        <c:ser>
          <c:idx val="0"/>
          <c:order val="0"/>
          <c:tx>
            <c:strRef>
              <c:f>PivotTableSectionG!$B$41</c:f>
              <c:strCache>
                <c:ptCount val="1"/>
                <c:pt idx="0">
                  <c:v>Total</c:v>
                </c:pt>
              </c:strCache>
            </c:strRef>
          </c:tx>
          <c:spPr>
            <a:solidFill>
              <a:schemeClr val="tx2">
                <a:lumMod val="25000"/>
                <a:lumOff val="75000"/>
              </a:schemeClr>
            </a:solidFill>
            <a:ln>
              <a:noFill/>
            </a:ln>
            <a:effectLst/>
            <a:sp3d/>
          </c:spPr>
          <c:invertIfNegative val="0"/>
          <c:cat>
            <c:strRef>
              <c:f>PivotTableSectionG!$A$42:$A$46</c:f>
              <c:strCache>
                <c:ptCount val="5"/>
                <c:pt idx="0">
                  <c:v>Aisha</c:v>
                </c:pt>
                <c:pt idx="1">
                  <c:v>Farhan</c:v>
                </c:pt>
                <c:pt idx="2">
                  <c:v>Nikhil</c:v>
                </c:pt>
                <c:pt idx="3">
                  <c:v>Rahul</c:v>
                </c:pt>
                <c:pt idx="4">
                  <c:v>Sneha</c:v>
                </c:pt>
              </c:strCache>
            </c:strRef>
          </c:cat>
          <c:val>
            <c:numRef>
              <c:f>PivotTableSectionG!$B$42:$B$46</c:f>
              <c:numCache>
                <c:formatCode>General</c:formatCode>
                <c:ptCount val="5"/>
                <c:pt idx="0">
                  <c:v>750452</c:v>
                </c:pt>
                <c:pt idx="1">
                  <c:v>693403</c:v>
                </c:pt>
                <c:pt idx="2">
                  <c:v>648534</c:v>
                </c:pt>
                <c:pt idx="3">
                  <c:v>633574</c:v>
                </c:pt>
                <c:pt idx="4">
                  <c:v>509237</c:v>
                </c:pt>
              </c:numCache>
            </c:numRef>
          </c:val>
          <c:shape val="coneToMax"/>
          <c:extLst>
            <c:ext xmlns:c16="http://schemas.microsoft.com/office/drawing/2014/chart" uri="{C3380CC4-5D6E-409C-BE32-E72D297353CC}">
              <c16:uniqueId val="{00000000-28BE-4B3E-9CB2-FAC3AA141F94}"/>
            </c:ext>
          </c:extLst>
        </c:ser>
        <c:dLbls>
          <c:showLegendKey val="0"/>
          <c:showVal val="0"/>
          <c:showCatName val="0"/>
          <c:showSerName val="0"/>
          <c:showPercent val="0"/>
          <c:showBubbleSize val="0"/>
        </c:dLbls>
        <c:gapWidth val="182"/>
        <c:shape val="box"/>
        <c:axId val="625268720"/>
        <c:axId val="625269680"/>
        <c:axId val="997807984"/>
      </c:bar3DChart>
      <c:catAx>
        <c:axId val="6252687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625269680"/>
        <c:crosses val="autoZero"/>
        <c:auto val="0"/>
        <c:lblAlgn val="ctr"/>
        <c:lblOffset val="100"/>
        <c:noMultiLvlLbl val="0"/>
      </c:catAx>
      <c:valAx>
        <c:axId val="625269680"/>
        <c:scaling>
          <c:orientation val="minMax"/>
        </c:scaling>
        <c:delete val="1"/>
        <c:axPos val="l"/>
        <c:numFmt formatCode="General" sourceLinked="1"/>
        <c:majorTickMark val="out"/>
        <c:minorTickMark val="none"/>
        <c:tickLblPos val="nextTo"/>
        <c:crossAx val="625268720"/>
        <c:crosses val="autoZero"/>
        <c:crossBetween val="between"/>
      </c:valAx>
      <c:serAx>
        <c:axId val="997807984"/>
        <c:scaling>
          <c:orientation val="minMax"/>
        </c:scaling>
        <c:delete val="1"/>
        <c:axPos val="b"/>
        <c:majorTickMark val="out"/>
        <c:minorTickMark val="none"/>
        <c:tickLblPos val="nextTo"/>
        <c:crossAx val="6252696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95686"/>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[Excel_Data_Analytics_Dataset Answers.xlsx]PivotTableSectionG!RegionSale</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Revenue by Region</a:t>
            </a:r>
          </a:p>
        </c:rich>
      </c:tx>
      <c:layout>
        <c:manualLayout>
          <c:xMode val="edge"/>
          <c:yMode val="edge"/>
          <c:x val="0.22280558916048238"/>
          <c:y val="4.2384100066524127E-2"/>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304126867399"/>
          <c:y val="0.22668429518912656"/>
          <c:w val="0.63413946856247694"/>
          <c:h val="0.57468779271171466"/>
        </c:manualLayout>
      </c:layout>
      <c:barChart>
        <c:barDir val="bar"/>
        <c:grouping val="clustered"/>
        <c:varyColors val="0"/>
        <c:ser>
          <c:idx val="0"/>
          <c:order val="0"/>
          <c:tx>
            <c:strRef>
              <c:f>PivotTableSectionG!$B$3</c:f>
              <c:strCache>
                <c:ptCount val="1"/>
                <c:pt idx="0">
                  <c:v>Total</c:v>
                </c:pt>
              </c:strCache>
            </c:strRef>
          </c:tx>
          <c:spPr>
            <a:solidFill>
              <a:schemeClr val="accent5">
                <a:lumMod val="40000"/>
                <a:lumOff val="60000"/>
              </a:schemeClr>
            </a:solidFill>
            <a:ln>
              <a:noFill/>
            </a:ln>
            <a:effectLst/>
          </c:spPr>
          <c:invertIfNegative val="0"/>
          <c:cat>
            <c:strRef>
              <c:f>PivotTableSectionG!$A$4:$A$8</c:f>
              <c:strCache>
                <c:ptCount val="4"/>
                <c:pt idx="0">
                  <c:v>West</c:v>
                </c:pt>
                <c:pt idx="1">
                  <c:v>South</c:v>
                </c:pt>
                <c:pt idx="2">
                  <c:v>East</c:v>
                </c:pt>
                <c:pt idx="3">
                  <c:v>North</c:v>
                </c:pt>
              </c:strCache>
            </c:strRef>
          </c:cat>
          <c:val>
            <c:numRef>
              <c:f>PivotTableSectionG!$B$4:$B$8</c:f>
              <c:numCache>
                <c:formatCode>General</c:formatCode>
                <c:ptCount val="4"/>
                <c:pt idx="0">
                  <c:v>881864</c:v>
                </c:pt>
                <c:pt idx="1">
                  <c:v>866015</c:v>
                </c:pt>
                <c:pt idx="2">
                  <c:v>788936</c:v>
                </c:pt>
                <c:pt idx="3">
                  <c:v>698385</c:v>
                </c:pt>
              </c:numCache>
            </c:numRef>
          </c:val>
          <c:extLst>
            <c:ext xmlns:c16="http://schemas.microsoft.com/office/drawing/2014/chart" uri="{C3380CC4-5D6E-409C-BE32-E72D297353CC}">
              <c16:uniqueId val="{00000000-651A-4C77-B3B4-CD150C1ECBA5}"/>
            </c:ext>
          </c:extLst>
        </c:ser>
        <c:dLbls>
          <c:showLegendKey val="0"/>
          <c:showVal val="0"/>
          <c:showCatName val="0"/>
          <c:showSerName val="0"/>
          <c:showPercent val="0"/>
          <c:showBubbleSize val="0"/>
        </c:dLbls>
        <c:gapWidth val="150"/>
        <c:axId val="140204736"/>
        <c:axId val="140215296"/>
      </c:barChart>
      <c:catAx>
        <c:axId val="140204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5296"/>
        <c:crosses val="autoZero"/>
        <c:auto val="1"/>
        <c:lblAlgn val="ctr"/>
        <c:lblOffset val="100"/>
        <c:noMultiLvlLbl val="0"/>
      </c:catAx>
      <c:valAx>
        <c:axId val="1402152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[Excel_Data_Analytics_Dataset Answers.xlsx]PivotTableSectionG!Category/sales</c:name>
    <c:fmtId val="39"/>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Product Category Share</a:t>
            </a:r>
          </a:p>
        </c:rich>
      </c:tx>
      <c:layout>
        <c:manualLayout>
          <c:xMode val="edge"/>
          <c:yMode val="edge"/>
          <c:x val="0.22186666666666666"/>
          <c:y val="6.0699514229685746E-2"/>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fld id="{F0180D7F-FEA3-4E03-8FFE-2D395D5DA2A4}" type="PERCENTAGE">
                  <a:rPr lang="en-US" b="1">
                    <a:solidFill>
                      <a:schemeClr val="bg2"/>
                    </a:solidFill>
                  </a:rPr>
                  <a:pPr>
                    <a:defRPr sz="900" b="0" i="0" u="none" strike="noStrike" kern="1200" baseline="0">
                      <a:ln>
                        <a:noFill/>
                      </a:ln>
                      <a:solidFill>
                        <a:schemeClr val="dk1"/>
                      </a:solidFill>
                      <a:latin typeface="+mn-lt"/>
                      <a:ea typeface="+mn-ea"/>
                      <a:cs typeface="+mn-cs"/>
                    </a:defRPr>
                  </a:pPr>
                  <a:t>[PERCENTAGE]</a:t>
                </a:fld>
                <a:endParaRPr lang="en-US"/>
              </a:p>
            </c:rich>
          </c:tx>
          <c:spPr>
            <a:noFill/>
            <a:ln w="1905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fld id="{F0180D7F-FEA3-4E03-8FFE-2D395D5DA2A4}" type="PERCENTAGE">
                  <a:rPr lang="en-US" b="1">
                    <a:solidFill>
                      <a:schemeClr val="bg2"/>
                    </a:solidFill>
                  </a:rPr>
                  <a:pPr>
                    <a:defRPr sz="900" b="0" i="0" u="none" strike="noStrike" kern="1200" baseline="0">
                      <a:ln>
                        <a:noFill/>
                      </a:ln>
                      <a:solidFill>
                        <a:schemeClr val="dk1"/>
                      </a:solidFill>
                      <a:latin typeface="+mn-lt"/>
                      <a:ea typeface="+mn-ea"/>
                      <a:cs typeface="+mn-cs"/>
                    </a:defRPr>
                  </a:pPr>
                  <a:t>[PERCENTAGE]</a:t>
                </a:fld>
                <a:endParaRPr lang="en-US"/>
              </a:p>
            </c:rich>
          </c:tx>
          <c:spPr>
            <a:noFill/>
            <a:ln w="19050" cap="flat" cmpd="sng" algn="ctr">
              <a:no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60000"/>
              <a:lumOff val="40000"/>
            </a:schemeClr>
          </a:solidFill>
          <a:ln w="19050">
            <a:solidFill>
              <a:schemeClr val="lt1"/>
            </a:solidFill>
          </a:ln>
          <a:effectLst/>
        </c:spPr>
      </c:pivotFmt>
      <c:pivotFmt>
        <c:idx val="18"/>
        <c:spPr>
          <a:solidFill>
            <a:schemeClr val="accent5">
              <a:lumMod val="40000"/>
              <a:lumOff val="60000"/>
            </a:schemeClr>
          </a:solidFill>
          <a:ln w="19050">
            <a:solidFill>
              <a:schemeClr val="lt1"/>
            </a:solidFill>
          </a:ln>
          <a:effectLst/>
        </c:spPr>
        <c:dLbl>
          <c:idx val="0"/>
          <c:tx>
            <c:rich>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fld id="{F0180D7F-FEA3-4E03-8FFE-2D395D5DA2A4}" type="PERCENTAGE">
                  <a:rPr lang="en-US"/>
                  <a:pPr>
                    <a:defRPr/>
                  </a:pPr>
                  <a:t>[PERCENTAGE]</a:t>
                </a:fld>
                <a:endParaRPr lang="en-US"/>
              </a:p>
            </c:rich>
          </c:tx>
          <c:spPr>
            <a:noFill/>
            <a:ln w="19050" cap="flat" cmpd="sng" algn="ctr">
              <a:noFill/>
              <a:prstDash val="solid"/>
              <a:miter lim="800000"/>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1.0996562780415959E-2"/>
          <c:y val="0.25342782152230969"/>
          <c:w val="0.98900343721958406"/>
          <c:h val="0.69167060367454059"/>
        </c:manualLayout>
      </c:layout>
      <c:doughnutChart>
        <c:varyColors val="1"/>
        <c:ser>
          <c:idx val="0"/>
          <c:order val="0"/>
          <c:tx>
            <c:strRef>
              <c:f>PivotTableSectionG!$H$17</c:f>
              <c:strCache>
                <c:ptCount val="1"/>
                <c:pt idx="0">
                  <c:v>Total</c:v>
                </c:pt>
              </c:strCache>
            </c:strRef>
          </c:tx>
          <c:spPr>
            <a:solidFill>
              <a:schemeClr val="accent5">
                <a:lumMod val="40000"/>
                <a:lumOff val="6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E793-403A-B458-2536F67330A6}"/>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E793-403A-B458-2536F67330A6}"/>
              </c:ext>
            </c:extLst>
          </c:dPt>
          <c:dLbls>
            <c:dLbl>
              <c:idx val="1"/>
              <c:tx>
                <c:rich>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fld id="{F0180D7F-FEA3-4E03-8FFE-2D395D5DA2A4}" type="PERCENTAGE">
                      <a:rPr lang="en-US"/>
                      <a:pPr>
                        <a:defRPr/>
                      </a:pPr>
                      <a:t>[PERCENTAGE]</a:t>
                    </a:fld>
                    <a:endParaRPr lang="en-US"/>
                  </a:p>
                </c:rich>
              </c:tx>
              <c:spPr>
                <a:noFill/>
                <a:ln w="19050" cap="flat" cmpd="sng" algn="ctr">
                  <a:noFill/>
                  <a:prstDash val="solid"/>
                  <a:miter lim="800000"/>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793-403A-B458-2536F67330A6}"/>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PivotTableSectionG!$G$18:$G$20</c:f>
              <c:strCache>
                <c:ptCount val="2"/>
                <c:pt idx="0">
                  <c:v>Electronics</c:v>
                </c:pt>
                <c:pt idx="1">
                  <c:v>Furniture</c:v>
                </c:pt>
              </c:strCache>
            </c:strRef>
          </c:cat>
          <c:val>
            <c:numRef>
              <c:f>PivotTableSectionG!$H$18:$H$20</c:f>
              <c:numCache>
                <c:formatCode>General</c:formatCode>
                <c:ptCount val="2"/>
                <c:pt idx="0">
                  <c:v>1638383</c:v>
                </c:pt>
                <c:pt idx="1">
                  <c:v>1596817</c:v>
                </c:pt>
              </c:numCache>
            </c:numRef>
          </c:val>
          <c:extLst>
            <c:ext xmlns:c16="http://schemas.microsoft.com/office/drawing/2014/chart" uri="{C3380CC4-5D6E-409C-BE32-E72D297353CC}">
              <c16:uniqueId val="{00000004-E793-403A-B458-2536F67330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a:sp3d>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[Excel_Data_Analytics_Dataset Answers.xlsx]PivotTableSectionG!Salesperson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65000"/>
                    <a:lumOff val="35000"/>
                  </a:schemeClr>
                </a:solidFill>
              </a:rPr>
              <a:t>Sales Person Ranking</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a:noFill/>
          </a:ln>
          <a:effectLst/>
          <a:sp3d/>
        </c:spPr>
      </c:pivotFmt>
      <c:pivotFmt>
        <c:idx val="12"/>
        <c:spPr>
          <a:solidFill>
            <a:schemeClr val="accent5">
              <a:lumMod val="40000"/>
              <a:lumOff val="60000"/>
            </a:schemeClr>
          </a:solidFill>
          <a:ln>
            <a:noFill/>
          </a:ln>
          <a:effectLst/>
          <a:sp3d/>
        </c:spPr>
      </c:pivotFmt>
      <c:pivotFmt>
        <c:idx val="13"/>
        <c:spPr>
          <a:solidFill>
            <a:schemeClr val="accent5">
              <a:lumMod val="40000"/>
              <a:lumOff val="60000"/>
            </a:schemeClr>
          </a:solidFill>
          <a:ln>
            <a:noFill/>
          </a:ln>
          <a:effectLst/>
          <a:sp3d/>
        </c:spPr>
      </c:pivotFmt>
      <c:pivotFmt>
        <c:idx val="14"/>
        <c:spPr>
          <a:solidFill>
            <a:schemeClr val="accent5">
              <a:lumMod val="40000"/>
              <a:lumOff val="60000"/>
            </a:schemeClr>
          </a:solidFill>
          <a:ln>
            <a:noFill/>
          </a:ln>
          <a:effectLst/>
          <a:sp3d/>
        </c:spPr>
      </c:pivotFmt>
      <c:pivotFmt>
        <c:idx val="15"/>
        <c:spPr>
          <a:solidFill>
            <a:schemeClr val="accent5">
              <a:lumMod val="40000"/>
              <a:lumOff val="60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852360269125652E-2"/>
          <c:y val="0.13062786716877781"/>
          <c:w val="0.85139525700880314"/>
          <c:h val="0.72278032637224698"/>
        </c:manualLayout>
      </c:layout>
      <c:bar3DChart>
        <c:barDir val="col"/>
        <c:grouping val="standard"/>
        <c:varyColors val="1"/>
        <c:ser>
          <c:idx val="0"/>
          <c:order val="0"/>
          <c:tx>
            <c:strRef>
              <c:f>PivotTableSectionG!$B$41</c:f>
              <c:strCache>
                <c:ptCount val="1"/>
                <c:pt idx="0">
                  <c:v>Total</c:v>
                </c:pt>
              </c:strCache>
            </c:strRef>
          </c:tx>
          <c:spPr>
            <a:solidFill>
              <a:schemeClr val="accent5">
                <a:lumMod val="40000"/>
                <a:lumOff val="60000"/>
              </a:schemeClr>
            </a:solidFill>
          </c:spPr>
          <c:invertIfNegative val="0"/>
          <c:dPt>
            <c:idx val="0"/>
            <c:invertIfNegative val="0"/>
            <c:bubble3D val="0"/>
            <c:spPr>
              <a:solidFill>
                <a:schemeClr val="accent5">
                  <a:lumMod val="40000"/>
                  <a:lumOff val="60000"/>
                </a:schemeClr>
              </a:solidFill>
              <a:ln>
                <a:noFill/>
              </a:ln>
              <a:effectLst/>
              <a:sp3d/>
            </c:spPr>
          </c:dPt>
          <c:dPt>
            <c:idx val="1"/>
            <c:invertIfNegative val="0"/>
            <c:bubble3D val="0"/>
            <c:spPr>
              <a:solidFill>
                <a:schemeClr val="accent5">
                  <a:lumMod val="40000"/>
                  <a:lumOff val="60000"/>
                </a:schemeClr>
              </a:solidFill>
              <a:ln>
                <a:noFill/>
              </a:ln>
              <a:effectLst/>
              <a:sp3d/>
            </c:spPr>
          </c:dPt>
          <c:dPt>
            <c:idx val="2"/>
            <c:invertIfNegative val="0"/>
            <c:bubble3D val="0"/>
            <c:spPr>
              <a:solidFill>
                <a:schemeClr val="accent5">
                  <a:lumMod val="40000"/>
                  <a:lumOff val="60000"/>
                </a:schemeClr>
              </a:solidFill>
              <a:ln>
                <a:noFill/>
              </a:ln>
              <a:effectLst/>
              <a:sp3d/>
            </c:spPr>
          </c:dPt>
          <c:dPt>
            <c:idx val="3"/>
            <c:invertIfNegative val="0"/>
            <c:bubble3D val="0"/>
            <c:spPr>
              <a:solidFill>
                <a:schemeClr val="accent5">
                  <a:lumMod val="40000"/>
                  <a:lumOff val="60000"/>
                </a:schemeClr>
              </a:solidFill>
              <a:ln>
                <a:noFill/>
              </a:ln>
              <a:effectLst/>
              <a:sp3d/>
            </c:spPr>
          </c:dPt>
          <c:dPt>
            <c:idx val="4"/>
            <c:invertIfNegative val="0"/>
            <c:bubble3D val="0"/>
            <c:spPr>
              <a:solidFill>
                <a:schemeClr val="accent5">
                  <a:lumMod val="40000"/>
                  <a:lumOff val="60000"/>
                </a:schemeClr>
              </a:solidFill>
              <a:ln>
                <a:noFill/>
              </a:ln>
              <a:effectLst/>
              <a:sp3d/>
            </c:spPr>
          </c:dPt>
          <c:cat>
            <c:strRef>
              <c:f>PivotTableSectionG!$A$42:$A$46</c:f>
              <c:strCache>
                <c:ptCount val="5"/>
                <c:pt idx="0">
                  <c:v>Aisha</c:v>
                </c:pt>
                <c:pt idx="1">
                  <c:v>Farhan</c:v>
                </c:pt>
                <c:pt idx="2">
                  <c:v>Nikhil</c:v>
                </c:pt>
                <c:pt idx="3">
                  <c:v>Rahul</c:v>
                </c:pt>
                <c:pt idx="4">
                  <c:v>Sneha</c:v>
                </c:pt>
              </c:strCache>
            </c:strRef>
          </c:cat>
          <c:val>
            <c:numRef>
              <c:f>PivotTableSectionG!$B$42:$B$46</c:f>
              <c:numCache>
                <c:formatCode>General</c:formatCode>
                <c:ptCount val="5"/>
                <c:pt idx="0">
                  <c:v>750452</c:v>
                </c:pt>
                <c:pt idx="1">
                  <c:v>693403</c:v>
                </c:pt>
                <c:pt idx="2">
                  <c:v>648534</c:v>
                </c:pt>
                <c:pt idx="3">
                  <c:v>633574</c:v>
                </c:pt>
                <c:pt idx="4">
                  <c:v>509237</c:v>
                </c:pt>
              </c:numCache>
            </c:numRef>
          </c:val>
          <c:shape val="coneToMax"/>
          <c:extLst>
            <c:ext xmlns:c16="http://schemas.microsoft.com/office/drawing/2014/chart" uri="{C3380CC4-5D6E-409C-BE32-E72D297353CC}">
              <c16:uniqueId val="{0000000A-0A4C-451E-8261-A19A3BD8D0B9}"/>
            </c:ext>
          </c:extLst>
        </c:ser>
        <c:dLbls>
          <c:showLegendKey val="0"/>
          <c:showVal val="0"/>
          <c:showCatName val="0"/>
          <c:showSerName val="0"/>
          <c:showPercent val="0"/>
          <c:showBubbleSize val="0"/>
        </c:dLbls>
        <c:gapWidth val="136"/>
        <c:gapDepth val="94"/>
        <c:shape val="box"/>
        <c:axId val="625268720"/>
        <c:axId val="625269680"/>
        <c:axId val="997807984"/>
      </c:bar3DChart>
      <c:catAx>
        <c:axId val="6252687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5269680"/>
        <c:crosses val="autoZero"/>
        <c:auto val="1"/>
        <c:lblAlgn val="ctr"/>
        <c:lblOffset val="100"/>
        <c:noMultiLvlLbl val="0"/>
      </c:catAx>
      <c:valAx>
        <c:axId val="625269680"/>
        <c:scaling>
          <c:orientation val="minMax"/>
        </c:scaling>
        <c:delete val="1"/>
        <c:axPos val="l"/>
        <c:numFmt formatCode="General" sourceLinked="1"/>
        <c:majorTickMark val="out"/>
        <c:minorTickMark val="none"/>
        <c:tickLblPos val="nextTo"/>
        <c:crossAx val="625268720"/>
        <c:crosses val="autoZero"/>
        <c:crossBetween val="between"/>
      </c:valAx>
      <c:serAx>
        <c:axId val="997807984"/>
        <c:scaling>
          <c:orientation val="minMax"/>
        </c:scaling>
        <c:delete val="1"/>
        <c:axPos val="b"/>
        <c:majorTickMark val="out"/>
        <c:minorTickMark val="none"/>
        <c:tickLblPos val="nextTo"/>
        <c:crossAx val="6252696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[Excel_Data_Analytics_Dataset Answers.xlsx]PivotTableSectionG!Product_Profit</c:name>
    <c:fmtId val="2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Product Profit</a:t>
            </a:r>
          </a:p>
        </c:rich>
      </c:tx>
      <c:layout>
        <c:manualLayout>
          <c:xMode val="edge"/>
          <c:yMode val="edge"/>
          <c:x val="0.52791086350974925"/>
          <c:y val="7.3809142841102085E-2"/>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2924133090606"/>
          <c:y val="9.4466293317613373E-2"/>
          <c:w val="0.57794825995772592"/>
          <c:h val="0.76971592836609715"/>
        </c:manualLayout>
      </c:layout>
      <c:barChart>
        <c:barDir val="bar"/>
        <c:grouping val="clustered"/>
        <c:varyColors val="0"/>
        <c:ser>
          <c:idx val="0"/>
          <c:order val="0"/>
          <c:tx>
            <c:strRef>
              <c:f>PivotTableSectionG!$E$3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PivotTableSectionG!$D$4:$D$12</c:f>
              <c:strCache>
                <c:ptCount val="8"/>
                <c:pt idx="0">
                  <c:v>Desk</c:v>
                </c:pt>
                <c:pt idx="1">
                  <c:v>Laptop</c:v>
                </c:pt>
                <c:pt idx="2">
                  <c:v>Tablet</c:v>
                </c:pt>
                <c:pt idx="3">
                  <c:v>Mobile</c:v>
                </c:pt>
                <c:pt idx="4">
                  <c:v>Cupboard</c:v>
                </c:pt>
                <c:pt idx="5">
                  <c:v>Headphones</c:v>
                </c:pt>
                <c:pt idx="6">
                  <c:v>Table</c:v>
                </c:pt>
                <c:pt idx="7">
                  <c:v>Chair</c:v>
                </c:pt>
              </c:strCache>
            </c:strRef>
          </c:cat>
          <c:val>
            <c:numRef>
              <c:f>PivotTableSectionG!$E$4:$E$12</c:f>
              <c:numCache>
                <c:formatCode>General</c:formatCode>
                <c:ptCount val="8"/>
                <c:pt idx="0">
                  <c:v>116163</c:v>
                </c:pt>
                <c:pt idx="1">
                  <c:v>110535</c:v>
                </c:pt>
                <c:pt idx="2">
                  <c:v>104776</c:v>
                </c:pt>
                <c:pt idx="3">
                  <c:v>99690</c:v>
                </c:pt>
                <c:pt idx="4">
                  <c:v>96237</c:v>
                </c:pt>
                <c:pt idx="5">
                  <c:v>95108</c:v>
                </c:pt>
                <c:pt idx="6">
                  <c:v>89706</c:v>
                </c:pt>
                <c:pt idx="7">
                  <c:v>75851</c:v>
                </c:pt>
              </c:numCache>
            </c:numRef>
          </c:val>
          <c:extLst>
            <c:ext xmlns:c16="http://schemas.microsoft.com/office/drawing/2014/chart" uri="{C3380CC4-5D6E-409C-BE32-E72D297353CC}">
              <c16:uniqueId val="{00000000-47EC-4041-8C33-3C685DB96EDD}"/>
            </c:ext>
          </c:extLst>
        </c:ser>
        <c:dLbls>
          <c:showLegendKey val="0"/>
          <c:showVal val="0"/>
          <c:showCatName val="0"/>
          <c:showSerName val="0"/>
          <c:showPercent val="0"/>
          <c:showBubbleSize val="0"/>
        </c:dLbls>
        <c:gapWidth val="417"/>
        <c:overlap val="10"/>
        <c:axId val="864372608"/>
        <c:axId val="864387008"/>
      </c:barChart>
      <c:valAx>
        <c:axId val="86438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72608"/>
        <c:crosses val="autoZero"/>
        <c:crossBetween val="between"/>
      </c:valAx>
      <c:catAx>
        <c:axId val="86437260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87008"/>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[Excel_Data_Analytics_Dataset Answers.xlsx]PivotTableSectionG!MonthlySalesSummary</c:name>
    <c:fmtId val="2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tx1">
                    <a:lumMod val="65000"/>
                    <a:lumOff val="35000"/>
                  </a:schemeClr>
                </a:solidFill>
              </a:rPr>
              <a:t>Month</a:t>
            </a:r>
            <a:r>
              <a:rPr lang="en-US" sz="1400" baseline="0">
                <a:solidFill>
                  <a:schemeClr val="tx1">
                    <a:lumMod val="65000"/>
                    <a:lumOff val="35000"/>
                  </a:schemeClr>
                </a:solidFill>
              </a:rPr>
              <a:t> sale</a:t>
            </a:r>
            <a:endParaRPr lang="en-US" sz="1400">
              <a:solidFill>
                <a:schemeClr val="tx1">
                  <a:lumMod val="65000"/>
                  <a:lumOff val="35000"/>
                </a:schemeClr>
              </a:solidFill>
            </a:endParaRP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5"/>
            </a:solidFill>
            <a:round/>
          </a:ln>
          <a:effectLst/>
        </c:spPr>
        <c:marker>
          <c:symbol val="diamond"/>
          <c:size val="6"/>
          <c:spPr>
            <a:solidFill>
              <a:schemeClr val="accent5">
                <a:lumMod val="40000"/>
                <a:lumOff val="60000"/>
              </a:schemeClr>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961727241722"/>
          <c:y val="0.31958568937272108"/>
          <c:w val="0.84870382727582783"/>
          <c:h val="0.53480667265585102"/>
        </c:manualLayout>
      </c:layout>
      <c:lineChart>
        <c:grouping val="stacked"/>
        <c:varyColors val="0"/>
        <c:ser>
          <c:idx val="0"/>
          <c:order val="0"/>
          <c:tx>
            <c:strRef>
              <c:f>PivotTableSectionG!$K$3</c:f>
              <c:strCache>
                <c:ptCount val="1"/>
                <c:pt idx="0">
                  <c:v>Total</c:v>
                </c:pt>
              </c:strCache>
            </c:strRef>
          </c:tx>
          <c:spPr>
            <a:ln w="22225" cap="rnd">
              <a:solidFill>
                <a:schemeClr val="accent5"/>
              </a:solidFill>
              <a:round/>
            </a:ln>
            <a:effectLst/>
          </c:spPr>
          <c:marker>
            <c:symbol val="diamond"/>
            <c:size val="6"/>
            <c:spPr>
              <a:solidFill>
                <a:schemeClr val="accent5">
                  <a:lumMod val="40000"/>
                  <a:lumOff val="60000"/>
                </a:schemeClr>
              </a:solidFill>
              <a:ln w="9525">
                <a:solidFill>
                  <a:schemeClr val="accent5"/>
                </a:solidFill>
                <a:round/>
              </a:ln>
              <a:effectLst/>
            </c:spPr>
          </c:marker>
          <c:cat>
            <c:strRef>
              <c:f>PivotTableSectionG!$J$4:$J$11</c:f>
              <c:strCache>
                <c:ptCount val="7"/>
                <c:pt idx="0">
                  <c:v>Jan</c:v>
                </c:pt>
                <c:pt idx="1">
                  <c:v>Feb</c:v>
                </c:pt>
                <c:pt idx="2">
                  <c:v>Mar</c:v>
                </c:pt>
                <c:pt idx="3">
                  <c:v>Apr</c:v>
                </c:pt>
                <c:pt idx="4">
                  <c:v>May</c:v>
                </c:pt>
                <c:pt idx="5">
                  <c:v>Jun</c:v>
                </c:pt>
                <c:pt idx="6">
                  <c:v>Jul</c:v>
                </c:pt>
              </c:strCache>
            </c:strRef>
          </c:cat>
          <c:val>
            <c:numRef>
              <c:f>PivotTableSectionG!$K$4:$K$11</c:f>
              <c:numCache>
                <c:formatCode>General</c:formatCode>
                <c:ptCount val="7"/>
                <c:pt idx="0">
                  <c:v>458875</c:v>
                </c:pt>
                <c:pt idx="1">
                  <c:v>466579</c:v>
                </c:pt>
                <c:pt idx="2">
                  <c:v>534382</c:v>
                </c:pt>
                <c:pt idx="3">
                  <c:v>468761</c:v>
                </c:pt>
                <c:pt idx="4">
                  <c:v>545139</c:v>
                </c:pt>
                <c:pt idx="5">
                  <c:v>456613</c:v>
                </c:pt>
                <c:pt idx="6">
                  <c:v>304851</c:v>
                </c:pt>
              </c:numCache>
            </c:numRef>
          </c:val>
          <c:smooth val="0"/>
          <c:extLst>
            <c:ext xmlns:c16="http://schemas.microsoft.com/office/drawing/2014/chart" uri="{C3380CC4-5D6E-409C-BE32-E72D297353CC}">
              <c16:uniqueId val="{00000000-D753-47D8-84B8-17760EC9DBE8}"/>
            </c:ext>
          </c:extLst>
        </c:ser>
        <c:dLbls>
          <c:showLegendKey val="0"/>
          <c:showVal val="0"/>
          <c:showCatName val="0"/>
          <c:showSerName val="0"/>
          <c:showPercent val="0"/>
          <c:showBubbleSize val="0"/>
        </c:dLbls>
        <c:marker val="1"/>
        <c:smooth val="0"/>
        <c:axId val="881148336"/>
        <c:axId val="881145936"/>
      </c:lineChart>
      <c:catAx>
        <c:axId val="88114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1145936"/>
        <c:crosses val="autoZero"/>
        <c:auto val="1"/>
        <c:lblAlgn val="ctr"/>
        <c:lblOffset val="100"/>
        <c:noMultiLvlLbl val="0"/>
      </c:catAx>
      <c:valAx>
        <c:axId val="881145936"/>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8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hyperlink" Target="https://www.earn2trade.com/blog/stock-order-types/" TargetMode="External"/><Relationship Id="rId3" Type="http://schemas.openxmlformats.org/officeDocument/2006/relationships/image" Target="../media/image3.png"/><Relationship Id="rId7" Type="http://schemas.openxmlformats.org/officeDocument/2006/relationships/chart" Target="../charts/chart8.xml"/><Relationship Id="rId12" Type="http://schemas.microsoft.com/office/2007/relationships/hdphoto" Target="../media/hdphoto1.wdp"/><Relationship Id="rId2" Type="http://schemas.openxmlformats.org/officeDocument/2006/relationships/image" Target="../media/image2.svg"/><Relationship Id="rId16" Type="http://schemas.openxmlformats.org/officeDocument/2006/relationships/hyperlink" Target="https://www.freepik.com/premium-vector/trophy-winner-ribbon-with-leaf_2361550.htm" TargetMode="Externa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image" Target="../media/image8.jpeg"/><Relationship Id="rId10"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hyperlink" Target="https://www.earn2trade.com/blog/stock-order-types/" TargetMode="External"/><Relationship Id="rId13" Type="http://schemas.openxmlformats.org/officeDocument/2006/relationships/chart" Target="../charts/chart15.xml"/><Relationship Id="rId18" Type="http://schemas.openxmlformats.org/officeDocument/2006/relationships/hyperlink" Target="https://fity.club/lists/suggestions/stock-market-graph-clipart/" TargetMode="External"/><Relationship Id="rId3" Type="http://schemas.openxmlformats.org/officeDocument/2006/relationships/image" Target="../media/image11.png"/><Relationship Id="rId7" Type="http://schemas.microsoft.com/office/2007/relationships/hdphoto" Target="../media/hdphoto3.wdp"/><Relationship Id="rId12" Type="http://schemas.openxmlformats.org/officeDocument/2006/relationships/chart" Target="../charts/chart14.xml"/><Relationship Id="rId17" Type="http://schemas.microsoft.com/office/2007/relationships/hdphoto" Target="../media/hdphoto4.wdp"/><Relationship Id="rId2" Type="http://schemas.openxmlformats.org/officeDocument/2006/relationships/image" Target="../media/image10.svg"/><Relationship Id="rId16" Type="http://schemas.openxmlformats.org/officeDocument/2006/relationships/image" Target="../media/image14.png"/><Relationship Id="rId1" Type="http://schemas.openxmlformats.org/officeDocument/2006/relationships/image" Target="../media/image9.png"/><Relationship Id="rId6" Type="http://schemas.openxmlformats.org/officeDocument/2006/relationships/image" Target="../media/image12.png"/><Relationship Id="rId11" Type="http://schemas.openxmlformats.org/officeDocument/2006/relationships/chart" Target="../charts/chart13.xml"/><Relationship Id="rId5" Type="http://schemas.openxmlformats.org/officeDocument/2006/relationships/hyperlink" Target="https://pixabay.com/es/vectors/dinero-bolsa-ganancia-oro-monedas-40603/" TargetMode="External"/><Relationship Id="rId15" Type="http://schemas.openxmlformats.org/officeDocument/2006/relationships/chart" Target="../charts/chart17.xml"/><Relationship Id="rId10" Type="http://schemas.openxmlformats.org/officeDocument/2006/relationships/hyperlink" Target="https://www.freepik.com/premium-vector/trophy-winner-ribbon-with-leaf_2361550.htm" TargetMode="External"/><Relationship Id="rId4" Type="http://schemas.microsoft.com/office/2007/relationships/hdphoto" Target="../media/hdphoto2.wdp"/><Relationship Id="rId9" Type="http://schemas.openxmlformats.org/officeDocument/2006/relationships/image" Target="../media/image8.jpeg"/><Relationship Id="rId1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hyperlink" Target="https://www.teacherspayteachers.com/Product/Geographic-Regions-Presentation-Series-6272694" TargetMode="External"/><Relationship Id="rId1"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142875</xdr:rowOff>
    </xdr:from>
    <xdr:to>
      <xdr:col>13</xdr:col>
      <xdr:colOff>104775</xdr:colOff>
      <xdr:row>16</xdr:row>
      <xdr:rowOff>142874</xdr:rowOff>
    </xdr:to>
    <xdr:graphicFrame macro="">
      <xdr:nvGraphicFramePr>
        <xdr:cNvPr id="4" name="Chart 3">
          <a:extLst>
            <a:ext uri="{FF2B5EF4-FFF2-40B4-BE49-F238E27FC236}">
              <a16:creationId xmlns:a16="http://schemas.microsoft.com/office/drawing/2014/main" id="{AEC33021-291A-4C70-9497-661A1F24E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228601</xdr:colOff>
      <xdr:row>2</xdr:row>
      <xdr:rowOff>142875</xdr:rowOff>
    </xdr:from>
    <xdr:to>
      <xdr:col>23</xdr:col>
      <xdr:colOff>200025</xdr:colOff>
      <xdr:row>17</xdr:row>
      <xdr:rowOff>76200</xdr:rowOff>
    </xdr:to>
    <xdr:graphicFrame macro="">
      <xdr:nvGraphicFramePr>
        <xdr:cNvPr id="8" name="Chart 7">
          <a:extLst>
            <a:ext uri="{FF2B5EF4-FFF2-40B4-BE49-F238E27FC236}">
              <a16:creationId xmlns:a16="http://schemas.microsoft.com/office/drawing/2014/main" id="{F777274D-57E5-4354-82FB-E9F32C155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28574</xdr:colOff>
      <xdr:row>20</xdr:row>
      <xdr:rowOff>180974</xdr:rowOff>
    </xdr:from>
    <xdr:to>
      <xdr:col>6</xdr:col>
      <xdr:colOff>200025</xdr:colOff>
      <xdr:row>35</xdr:row>
      <xdr:rowOff>180975</xdr:rowOff>
    </xdr:to>
    <xdr:graphicFrame macro="">
      <xdr:nvGraphicFramePr>
        <xdr:cNvPr id="10" name="Chart 9">
          <a:extLst>
            <a:ext uri="{FF2B5EF4-FFF2-40B4-BE49-F238E27FC236}">
              <a16:creationId xmlns:a16="http://schemas.microsoft.com/office/drawing/2014/main" id="{906E424E-379D-4C9F-B336-AC616FE0F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0</xdr:rowOff>
    </xdr:from>
    <xdr:to>
      <xdr:col>5</xdr:col>
      <xdr:colOff>381000</xdr:colOff>
      <xdr:row>16</xdr:row>
      <xdr:rowOff>76200</xdr:rowOff>
    </xdr:to>
    <xdr:graphicFrame macro="">
      <xdr:nvGraphicFramePr>
        <xdr:cNvPr id="13" name="Chart 12">
          <a:extLst>
            <a:ext uri="{FF2B5EF4-FFF2-40B4-BE49-F238E27FC236}">
              <a16:creationId xmlns:a16="http://schemas.microsoft.com/office/drawing/2014/main" id="{96E3552E-E8D2-4E8E-A2EF-FA549A77B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257174</xdr:colOff>
      <xdr:row>20</xdr:row>
      <xdr:rowOff>161924</xdr:rowOff>
    </xdr:from>
    <xdr:to>
      <xdr:col>13</xdr:col>
      <xdr:colOff>552449</xdr:colOff>
      <xdr:row>34</xdr:row>
      <xdr:rowOff>161925</xdr:rowOff>
    </xdr:to>
    <xdr:graphicFrame macro="">
      <xdr:nvGraphicFramePr>
        <xdr:cNvPr id="2" name="Chart 1">
          <a:extLst>
            <a:ext uri="{FF2B5EF4-FFF2-40B4-BE49-F238E27FC236}">
              <a16:creationId xmlns:a16="http://schemas.microsoft.com/office/drawing/2014/main" id="{B5E67033-A542-4F54-9742-9F2D73481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600075</xdr:colOff>
      <xdr:row>21</xdr:row>
      <xdr:rowOff>0</xdr:rowOff>
    </xdr:from>
    <xdr:to>
      <xdr:col>23</xdr:col>
      <xdr:colOff>276225</xdr:colOff>
      <xdr:row>35</xdr:row>
      <xdr:rowOff>0</xdr:rowOff>
    </xdr:to>
    <xdr:graphicFrame macro="">
      <xdr:nvGraphicFramePr>
        <xdr:cNvPr id="3" name="Chart 2">
          <a:extLst>
            <a:ext uri="{FF2B5EF4-FFF2-40B4-BE49-F238E27FC236}">
              <a16:creationId xmlns:a16="http://schemas.microsoft.com/office/drawing/2014/main" id="{EE0F624C-5625-4348-B5D4-E6B8E3DF8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37</xdr:row>
      <xdr:rowOff>142875</xdr:rowOff>
    </xdr:from>
    <xdr:to>
      <xdr:col>6</xdr:col>
      <xdr:colOff>228600</xdr:colOff>
      <xdr:row>52</xdr:row>
      <xdr:rowOff>76200</xdr:rowOff>
    </xdr:to>
    <xdr:graphicFrame macro="">
      <xdr:nvGraphicFramePr>
        <xdr:cNvPr id="6" name="Chart 5">
          <a:extLst>
            <a:ext uri="{FF2B5EF4-FFF2-40B4-BE49-F238E27FC236}">
              <a16:creationId xmlns:a16="http://schemas.microsoft.com/office/drawing/2014/main" id="{2CECC9F4-1D1D-4631-924A-33B43EE44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4763</xdr:colOff>
      <xdr:row>0</xdr:row>
      <xdr:rowOff>0</xdr:rowOff>
    </xdr:from>
    <xdr:to>
      <xdr:col>25</xdr:col>
      <xdr:colOff>214313</xdr:colOff>
      <xdr:row>32</xdr:row>
      <xdr:rowOff>24000</xdr:rowOff>
    </xdr:to>
    <xdr:sp macro="" textlink="">
      <xdr:nvSpPr>
        <xdr:cNvPr id="5" name="Rectangle: Rounded Corners 4">
          <a:extLst>
            <a:ext uri="{FF2B5EF4-FFF2-40B4-BE49-F238E27FC236}">
              <a16:creationId xmlns:a16="http://schemas.microsoft.com/office/drawing/2014/main" id="{C75E75EA-885E-7569-788E-BDB84442B856}"/>
            </a:ext>
          </a:extLst>
        </xdr:cNvPr>
        <xdr:cNvSpPr/>
      </xdr:nvSpPr>
      <xdr:spPr>
        <a:xfrm>
          <a:off x="4763" y="0"/>
          <a:ext cx="15390019" cy="6120000"/>
        </a:xfrm>
        <a:prstGeom prst="roundRect">
          <a:avLst>
            <a:gd name="adj" fmla="val 300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347662</xdr:colOff>
      <xdr:row>0</xdr:row>
      <xdr:rowOff>76200</xdr:rowOff>
    </xdr:from>
    <xdr:to>
      <xdr:col>20</xdr:col>
      <xdr:colOff>271462</xdr:colOff>
      <xdr:row>4</xdr:row>
      <xdr:rowOff>185400</xdr:rowOff>
    </xdr:to>
    <xdr:sp macro="" textlink="">
      <xdr:nvSpPr>
        <xdr:cNvPr id="7" name="Rectangle: Rounded Corners 6">
          <a:extLst>
            <a:ext uri="{FF2B5EF4-FFF2-40B4-BE49-F238E27FC236}">
              <a16:creationId xmlns:a16="http://schemas.microsoft.com/office/drawing/2014/main" id="{B5E92B11-FD83-47B8-A519-BE7939C713AA}"/>
            </a:ext>
          </a:extLst>
        </xdr:cNvPr>
        <xdr:cNvSpPr/>
      </xdr:nvSpPr>
      <xdr:spPr>
        <a:xfrm>
          <a:off x="1562100" y="76200"/>
          <a:ext cx="10853737" cy="871200"/>
        </a:xfrm>
        <a:prstGeom prst="roundRect">
          <a:avLst/>
        </a:prstGeom>
        <a:solidFill>
          <a:schemeClr val="tx1">
            <a:lumMod val="50000"/>
            <a:lumOff val="50000"/>
            <a:alpha val="88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83344</xdr:rowOff>
    </xdr:from>
    <xdr:to>
      <xdr:col>2</xdr:col>
      <xdr:colOff>126300</xdr:colOff>
      <xdr:row>30</xdr:row>
      <xdr:rowOff>180975</xdr:rowOff>
    </xdr:to>
    <xdr:sp macro="" textlink="">
      <xdr:nvSpPr>
        <xdr:cNvPr id="9" name="Rectangle: Rounded Corners 8">
          <a:extLst>
            <a:ext uri="{FF2B5EF4-FFF2-40B4-BE49-F238E27FC236}">
              <a16:creationId xmlns:a16="http://schemas.microsoft.com/office/drawing/2014/main" id="{9E2210BC-6EEF-43D9-BE54-2F1BC93A9DB2}"/>
            </a:ext>
          </a:extLst>
        </xdr:cNvPr>
        <xdr:cNvSpPr/>
      </xdr:nvSpPr>
      <xdr:spPr>
        <a:xfrm>
          <a:off x="114300" y="83344"/>
          <a:ext cx="1226438" cy="5812631"/>
        </a:xfrm>
        <a:prstGeom prst="roundRect">
          <a:avLst/>
        </a:prstGeom>
        <a:solidFill>
          <a:schemeClr val="tx1">
            <a:lumMod val="50000"/>
            <a:lumOff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glow rad="101600">
                <a:schemeClr val="accent1">
                  <a:satMod val="175000"/>
                  <a:alpha val="40000"/>
                </a:schemeClr>
              </a:glow>
            </a:effectLst>
          </a:endParaRPr>
        </a:p>
      </xdr:txBody>
    </xdr:sp>
    <xdr:clientData/>
  </xdr:twoCellAnchor>
  <xdr:twoCellAnchor>
    <xdr:from>
      <xdr:col>2</xdr:col>
      <xdr:colOff>297656</xdr:colOff>
      <xdr:row>5</xdr:row>
      <xdr:rowOff>88106</xdr:rowOff>
    </xdr:from>
    <xdr:to>
      <xdr:col>6</xdr:col>
      <xdr:colOff>523875</xdr:colOff>
      <xdr:row>10</xdr:row>
      <xdr:rowOff>35606</xdr:rowOff>
    </xdr:to>
    <xdr:sp macro="" textlink="">
      <xdr:nvSpPr>
        <xdr:cNvPr id="10" name="Rectangle: Rounded Corners 9">
          <a:extLst>
            <a:ext uri="{FF2B5EF4-FFF2-40B4-BE49-F238E27FC236}">
              <a16:creationId xmlns:a16="http://schemas.microsoft.com/office/drawing/2014/main" id="{4DCF2223-47AB-6F17-DF05-D72A4CFF6D6D}"/>
            </a:ext>
          </a:extLst>
        </xdr:cNvPr>
        <xdr:cNvSpPr/>
      </xdr:nvSpPr>
      <xdr:spPr>
        <a:xfrm>
          <a:off x="1512094" y="1040606"/>
          <a:ext cx="2655094" cy="900000"/>
        </a:xfrm>
        <a:prstGeom prst="roundRect">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245268</xdr:colOff>
      <xdr:row>10</xdr:row>
      <xdr:rowOff>78581</xdr:rowOff>
    </xdr:from>
    <xdr:to>
      <xdr:col>9</xdr:col>
      <xdr:colOff>28574</xdr:colOff>
      <xdr:row>21</xdr:row>
      <xdr:rowOff>21431</xdr:rowOff>
    </xdr:to>
    <xdr:sp macro="" textlink="">
      <xdr:nvSpPr>
        <xdr:cNvPr id="14" name="Rectangle: Rounded Corners 13">
          <a:extLst>
            <a:ext uri="{FF2B5EF4-FFF2-40B4-BE49-F238E27FC236}">
              <a16:creationId xmlns:a16="http://schemas.microsoft.com/office/drawing/2014/main" id="{F99498B9-78FE-43D9-B09D-59C59AA6E015}"/>
            </a:ext>
          </a:extLst>
        </xdr:cNvPr>
        <xdr:cNvSpPr/>
      </xdr:nvSpPr>
      <xdr:spPr>
        <a:xfrm>
          <a:off x="1459706" y="1983581"/>
          <a:ext cx="4033837" cy="2038350"/>
        </a:xfrm>
        <a:prstGeom prst="roundRect">
          <a:avLst>
            <a:gd name="adj" fmla="val 10242"/>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238125</xdr:colOff>
      <xdr:row>21</xdr:row>
      <xdr:rowOff>123825</xdr:rowOff>
    </xdr:from>
    <xdr:to>
      <xdr:col>8</xdr:col>
      <xdr:colOff>523875</xdr:colOff>
      <xdr:row>30</xdr:row>
      <xdr:rowOff>180975</xdr:rowOff>
    </xdr:to>
    <xdr:sp macro="" textlink="">
      <xdr:nvSpPr>
        <xdr:cNvPr id="17" name="Rectangle: Rounded Corners 16">
          <a:extLst>
            <a:ext uri="{FF2B5EF4-FFF2-40B4-BE49-F238E27FC236}">
              <a16:creationId xmlns:a16="http://schemas.microsoft.com/office/drawing/2014/main" id="{E04E5483-0F7F-4298-AA56-C87E2B18C4F0}"/>
            </a:ext>
          </a:extLst>
        </xdr:cNvPr>
        <xdr:cNvSpPr/>
      </xdr:nvSpPr>
      <xdr:spPr>
        <a:xfrm>
          <a:off x="1452563" y="4124325"/>
          <a:ext cx="3929062" cy="1771650"/>
        </a:xfrm>
        <a:prstGeom prst="roundRect">
          <a:avLst>
            <a:gd name="adj" fmla="val 7930"/>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xdr:colOff>
      <xdr:row>10</xdr:row>
      <xdr:rowOff>119062</xdr:rowOff>
    </xdr:from>
    <xdr:to>
      <xdr:col>13</xdr:col>
      <xdr:colOff>397668</xdr:colOff>
      <xdr:row>31</xdr:row>
      <xdr:rowOff>23813</xdr:rowOff>
    </xdr:to>
    <xdr:sp macro="" textlink="">
      <xdr:nvSpPr>
        <xdr:cNvPr id="18" name="Rectangle: Rounded Corners 17">
          <a:extLst>
            <a:ext uri="{FF2B5EF4-FFF2-40B4-BE49-F238E27FC236}">
              <a16:creationId xmlns:a16="http://schemas.microsoft.com/office/drawing/2014/main" id="{72002F4B-2A79-497C-9CA2-463D5411D95B}"/>
            </a:ext>
          </a:extLst>
        </xdr:cNvPr>
        <xdr:cNvSpPr/>
      </xdr:nvSpPr>
      <xdr:spPr>
        <a:xfrm>
          <a:off x="5512594" y="2024062"/>
          <a:ext cx="2778918" cy="3905251"/>
        </a:xfrm>
        <a:prstGeom prst="roundRect">
          <a:avLst>
            <a:gd name="adj" fmla="val 6322"/>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440531</xdr:colOff>
      <xdr:row>10</xdr:row>
      <xdr:rowOff>95251</xdr:rowOff>
    </xdr:from>
    <xdr:to>
      <xdr:col>20</xdr:col>
      <xdr:colOff>173831</xdr:colOff>
      <xdr:row>30</xdr:row>
      <xdr:rowOff>185737</xdr:rowOff>
    </xdr:to>
    <xdr:sp macro="" textlink="">
      <xdr:nvSpPr>
        <xdr:cNvPr id="20" name="Rectangle: Rounded Corners 19">
          <a:extLst>
            <a:ext uri="{FF2B5EF4-FFF2-40B4-BE49-F238E27FC236}">
              <a16:creationId xmlns:a16="http://schemas.microsoft.com/office/drawing/2014/main" id="{93CAC63D-C48A-4A0E-834E-56CD7E62FE35}"/>
            </a:ext>
          </a:extLst>
        </xdr:cNvPr>
        <xdr:cNvSpPr/>
      </xdr:nvSpPr>
      <xdr:spPr>
        <a:xfrm>
          <a:off x="8334375" y="2000251"/>
          <a:ext cx="3983831" cy="3900486"/>
        </a:xfrm>
        <a:prstGeom prst="roundRect">
          <a:avLst>
            <a:gd name="adj" fmla="val 7992"/>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577909</xdr:colOff>
      <xdr:row>0</xdr:row>
      <xdr:rowOff>55028</xdr:rowOff>
    </xdr:from>
    <xdr:ext cx="7285713" cy="937693"/>
    <xdr:sp macro="" textlink="">
      <xdr:nvSpPr>
        <xdr:cNvPr id="22" name="Rectangle 21">
          <a:extLst>
            <a:ext uri="{FF2B5EF4-FFF2-40B4-BE49-F238E27FC236}">
              <a16:creationId xmlns:a16="http://schemas.microsoft.com/office/drawing/2014/main" id="{B682F4A5-7EC0-598A-B39D-244F7764688E}"/>
            </a:ext>
          </a:extLst>
        </xdr:cNvPr>
        <xdr:cNvSpPr/>
      </xdr:nvSpPr>
      <xdr:spPr>
        <a:xfrm>
          <a:off x="3006784" y="55028"/>
          <a:ext cx="7285713" cy="937693"/>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5400" b="1" cap="none" spc="0">
              <a:ln/>
              <a:solidFill>
                <a:schemeClr val="tx2">
                  <a:lumMod val="25000"/>
                  <a:lumOff val="75000"/>
                </a:schemeClr>
              </a:solidFill>
              <a:effectLst/>
              <a:latin typeface="Impact" panose="020B0806030902050204" pitchFamily="34" charset="0"/>
            </a:rPr>
            <a:t>Sales</a:t>
          </a:r>
          <a:r>
            <a:rPr lang="en-US" sz="5400" b="1" cap="none" spc="0" baseline="0">
              <a:ln/>
              <a:solidFill>
                <a:schemeClr val="tx2">
                  <a:lumMod val="25000"/>
                  <a:lumOff val="75000"/>
                </a:schemeClr>
              </a:solidFill>
              <a:effectLst/>
              <a:latin typeface="Impact" panose="020B0806030902050204" pitchFamily="34" charset="0"/>
            </a:rPr>
            <a:t> &amp; Profit DashBoard</a:t>
          </a:r>
          <a:endParaRPr lang="en-US" sz="5400" b="1" cap="none" spc="0">
            <a:ln/>
            <a:solidFill>
              <a:schemeClr val="tx2">
                <a:lumMod val="25000"/>
                <a:lumOff val="75000"/>
              </a:schemeClr>
            </a:solidFill>
            <a:effectLst/>
            <a:latin typeface="Impact" panose="020B0806030902050204" pitchFamily="34" charset="0"/>
          </a:endParaRPr>
        </a:p>
      </xdr:txBody>
    </xdr:sp>
    <xdr:clientData/>
  </xdr:oneCellAnchor>
  <xdr:twoCellAnchor editAs="oneCell">
    <xdr:from>
      <xdr:col>2</xdr:col>
      <xdr:colOff>416717</xdr:colOff>
      <xdr:row>0</xdr:row>
      <xdr:rowOff>83344</xdr:rowOff>
    </xdr:from>
    <xdr:to>
      <xdr:col>4</xdr:col>
      <xdr:colOff>476249</xdr:colOff>
      <xdr:row>5</xdr:row>
      <xdr:rowOff>45244</xdr:rowOff>
    </xdr:to>
    <xdr:pic>
      <xdr:nvPicPr>
        <xdr:cNvPr id="24" name="Graphic 23" descr="Bar graph with upward trend with solid fill">
          <a:extLst>
            <a:ext uri="{FF2B5EF4-FFF2-40B4-BE49-F238E27FC236}">
              <a16:creationId xmlns:a16="http://schemas.microsoft.com/office/drawing/2014/main" id="{940B227B-2AF1-A5B7-1E94-DAB542BC29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1155" y="83344"/>
          <a:ext cx="1273969" cy="914400"/>
        </a:xfrm>
        <a:prstGeom prst="rect">
          <a:avLst/>
        </a:prstGeom>
        <a:effectLst>
          <a:glow rad="139700">
            <a:schemeClr val="accent4">
              <a:satMod val="175000"/>
              <a:alpha val="40000"/>
            </a:schemeClr>
          </a:glow>
        </a:effectLst>
      </xdr:spPr>
    </xdr:pic>
    <xdr:clientData/>
  </xdr:twoCellAnchor>
  <xdr:twoCellAnchor editAs="oneCell">
    <xdr:from>
      <xdr:col>2</xdr:col>
      <xdr:colOff>333374</xdr:colOff>
      <xdr:row>5</xdr:row>
      <xdr:rowOff>119064</xdr:rowOff>
    </xdr:from>
    <xdr:to>
      <xdr:col>4</xdr:col>
      <xdr:colOff>283369</xdr:colOff>
      <xdr:row>10</xdr:row>
      <xdr:rowOff>80964</xdr:rowOff>
    </xdr:to>
    <xdr:pic>
      <xdr:nvPicPr>
        <xdr:cNvPr id="26" name="Graphic 25" descr="Coins with solid fill">
          <a:extLst>
            <a:ext uri="{FF2B5EF4-FFF2-40B4-BE49-F238E27FC236}">
              <a16:creationId xmlns:a16="http://schemas.microsoft.com/office/drawing/2014/main" id="{DB9594F7-E2A2-2E56-40F3-7E5D4E9F09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47812" y="1071564"/>
          <a:ext cx="1164432" cy="914400"/>
        </a:xfrm>
        <a:prstGeom prst="rect">
          <a:avLst/>
        </a:prstGeom>
        <a:effectLst/>
      </xdr:spPr>
    </xdr:pic>
    <xdr:clientData/>
  </xdr:twoCellAnchor>
  <xdr:twoCellAnchor>
    <xdr:from>
      <xdr:col>4</xdr:col>
      <xdr:colOff>428626</xdr:colOff>
      <xdr:row>5</xdr:row>
      <xdr:rowOff>142875</xdr:rowOff>
    </xdr:from>
    <xdr:to>
      <xdr:col>6</xdr:col>
      <xdr:colOff>321469</xdr:colOff>
      <xdr:row>7</xdr:row>
      <xdr:rowOff>119062</xdr:rowOff>
    </xdr:to>
    <xdr:sp macro="" textlink="">
      <xdr:nvSpPr>
        <xdr:cNvPr id="27" name="TextBox 26">
          <a:extLst>
            <a:ext uri="{FF2B5EF4-FFF2-40B4-BE49-F238E27FC236}">
              <a16:creationId xmlns:a16="http://schemas.microsoft.com/office/drawing/2014/main" id="{6F38556B-4973-4A4F-DA1B-5BFE2568D9F6}"/>
            </a:ext>
          </a:extLst>
        </xdr:cNvPr>
        <xdr:cNvSpPr txBox="1"/>
      </xdr:nvSpPr>
      <xdr:spPr>
        <a:xfrm>
          <a:off x="2857501" y="1095375"/>
          <a:ext cx="1107281" cy="357187"/>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cap="none" spc="0">
              <a:ln w="0"/>
              <a:solidFill>
                <a:schemeClr val="tx1"/>
              </a:solidFill>
              <a:effectLst>
                <a:outerShdw blurRad="38100" dist="19050" dir="2700000" algn="tl" rotWithShape="0">
                  <a:schemeClr val="dk1">
                    <a:alpha val="40000"/>
                  </a:schemeClr>
                </a:outerShdw>
              </a:effectLst>
            </a:rPr>
            <a:t>Total</a:t>
          </a:r>
          <a:r>
            <a:rPr lang="en-US" sz="1600" b="0" cap="none" spc="0">
              <a:ln w="0"/>
              <a:solidFill>
                <a:schemeClr val="tx1"/>
              </a:solidFill>
              <a:effectLst>
                <a:outerShdw blurRad="38100" dist="19050" dir="2700000" algn="tl" rotWithShape="0">
                  <a:schemeClr val="dk1">
                    <a:alpha val="40000"/>
                  </a:schemeClr>
                </a:outerShdw>
              </a:effectLst>
            </a:rPr>
            <a:t> </a:t>
          </a:r>
          <a:r>
            <a:rPr lang="en-US" sz="1200" b="0" cap="none" spc="0">
              <a:ln w="0"/>
              <a:solidFill>
                <a:schemeClr val="tx1"/>
              </a:solidFill>
              <a:effectLst>
                <a:outerShdw blurRad="38100" dist="19050" dir="2700000" algn="tl" rotWithShape="0">
                  <a:schemeClr val="dk1">
                    <a:alpha val="40000"/>
                  </a:schemeClr>
                </a:outerShdw>
              </a:effectLst>
            </a:rPr>
            <a:t>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552449</xdr:colOff>
      <xdr:row>5</xdr:row>
      <xdr:rowOff>83344</xdr:rowOff>
    </xdr:from>
    <xdr:to>
      <xdr:col>11</xdr:col>
      <xdr:colOff>297656</xdr:colOff>
      <xdr:row>10</xdr:row>
      <xdr:rowOff>30844</xdr:rowOff>
    </xdr:to>
    <xdr:sp macro="" textlink="">
      <xdr:nvSpPr>
        <xdr:cNvPr id="28" name="Rectangle: Rounded Corners 27">
          <a:extLst>
            <a:ext uri="{FF2B5EF4-FFF2-40B4-BE49-F238E27FC236}">
              <a16:creationId xmlns:a16="http://schemas.microsoft.com/office/drawing/2014/main" id="{E8B0D22A-263F-4F72-8407-956A3CD567D5}"/>
            </a:ext>
          </a:extLst>
        </xdr:cNvPr>
        <xdr:cNvSpPr/>
      </xdr:nvSpPr>
      <xdr:spPr>
        <a:xfrm>
          <a:off x="4195762" y="1035844"/>
          <a:ext cx="2781300" cy="900000"/>
        </a:xfrm>
        <a:prstGeom prst="roundRect">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607217</xdr:colOff>
      <xdr:row>4</xdr:row>
      <xdr:rowOff>166686</xdr:rowOff>
    </xdr:from>
    <xdr:to>
      <xdr:col>8</xdr:col>
      <xdr:colOff>511968</xdr:colOff>
      <xdr:row>9</xdr:row>
      <xdr:rowOff>117167</xdr:rowOff>
    </xdr:to>
    <xdr:pic>
      <xdr:nvPicPr>
        <xdr:cNvPr id="32" name="Graphic 31" descr="Money with solid fill">
          <a:extLst>
            <a:ext uri="{FF2B5EF4-FFF2-40B4-BE49-F238E27FC236}">
              <a16:creationId xmlns:a16="http://schemas.microsoft.com/office/drawing/2014/main" id="{2EAFE08F-D012-675F-2D66-B69920ADFE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50530" y="928686"/>
          <a:ext cx="1119188" cy="902981"/>
        </a:xfrm>
        <a:prstGeom prst="rect">
          <a:avLst/>
        </a:prstGeom>
        <a:effectLst/>
      </xdr:spPr>
    </xdr:pic>
    <xdr:clientData/>
  </xdr:twoCellAnchor>
  <xdr:twoCellAnchor>
    <xdr:from>
      <xdr:col>4</xdr:col>
      <xdr:colOff>464343</xdr:colOff>
      <xdr:row>8</xdr:row>
      <xdr:rowOff>59532</xdr:rowOff>
    </xdr:from>
    <xdr:to>
      <xdr:col>6</xdr:col>
      <xdr:colOff>333373</xdr:colOff>
      <xdr:row>9</xdr:row>
      <xdr:rowOff>154781</xdr:rowOff>
    </xdr:to>
    <xdr:sp macro="" textlink="PivotTableSectionG!A10">
      <xdr:nvSpPr>
        <xdr:cNvPr id="33" name="TextBox 32">
          <a:extLst>
            <a:ext uri="{FF2B5EF4-FFF2-40B4-BE49-F238E27FC236}">
              <a16:creationId xmlns:a16="http://schemas.microsoft.com/office/drawing/2014/main" id="{5C94CFEA-6658-4791-A36C-542745C78044}"/>
            </a:ext>
          </a:extLst>
        </xdr:cNvPr>
        <xdr:cNvSpPr txBox="1"/>
      </xdr:nvSpPr>
      <xdr:spPr>
        <a:xfrm>
          <a:off x="2893218" y="1583532"/>
          <a:ext cx="1083468" cy="285749"/>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0F4F1E-5754-4479-A1C4-E3E66FDDB116}"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t>$32,35,200.00 </a:t>
          </a:fld>
          <a:endParaRPr lang="en-US" b="0" cap="none" spc="0">
            <a:ln w="0"/>
            <a:effectLst>
              <a:outerShdw blurRad="38100" dist="25400" dir="5400000" algn="ctr" rotWithShape="0">
                <a:srgbClr val="6E747A">
                  <a:alpha val="43000"/>
                </a:srgbClr>
              </a:outerShdw>
            </a:effectLst>
          </a:endParaRPr>
        </a:p>
      </xdr:txBody>
    </xdr:sp>
    <xdr:clientData/>
  </xdr:twoCellAnchor>
  <xdr:twoCellAnchor>
    <xdr:from>
      <xdr:col>9</xdr:col>
      <xdr:colOff>159543</xdr:colOff>
      <xdr:row>8</xdr:row>
      <xdr:rowOff>23811</xdr:rowOff>
    </xdr:from>
    <xdr:to>
      <xdr:col>11</xdr:col>
      <xdr:colOff>28574</xdr:colOff>
      <xdr:row>9</xdr:row>
      <xdr:rowOff>119060</xdr:rowOff>
    </xdr:to>
    <xdr:sp macro="" textlink="PivotTableSectionG!A11">
      <xdr:nvSpPr>
        <xdr:cNvPr id="34" name="TextBox 33">
          <a:extLst>
            <a:ext uri="{FF2B5EF4-FFF2-40B4-BE49-F238E27FC236}">
              <a16:creationId xmlns:a16="http://schemas.microsoft.com/office/drawing/2014/main" id="{D68EBD87-32BA-43D0-B0C0-AB1D47F21C48}"/>
            </a:ext>
          </a:extLst>
        </xdr:cNvPr>
        <xdr:cNvSpPr txBox="1"/>
      </xdr:nvSpPr>
      <xdr:spPr>
        <a:xfrm>
          <a:off x="5624512" y="1547811"/>
          <a:ext cx="1083468" cy="285749"/>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4F24A2-164B-4E32-A558-5103801C79F8}"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pPr/>
            <a:t>$7,88,066.00 </a:t>
          </a:fld>
          <a:endParaRPr lang="en-US" sz="1400" b="0" cap="none" spc="0">
            <a:ln w="0"/>
            <a:solidFill>
              <a:schemeClr val="tx2">
                <a:lumMod val="10000"/>
                <a:lumOff val="90000"/>
              </a:schemeClr>
            </a:solidFill>
            <a:effectLst>
              <a:outerShdw blurRad="38100" dist="25400" dir="5400000" algn="ctr" rotWithShape="0">
                <a:srgbClr val="6E747A">
                  <a:alpha val="43000"/>
                </a:srgbClr>
              </a:outerShdw>
            </a:effectLst>
          </a:endParaRPr>
        </a:p>
      </xdr:txBody>
    </xdr:sp>
    <xdr:clientData/>
  </xdr:twoCellAnchor>
  <xdr:twoCellAnchor>
    <xdr:from>
      <xdr:col>9</xdr:col>
      <xdr:colOff>171449</xdr:colOff>
      <xdr:row>5</xdr:row>
      <xdr:rowOff>166691</xdr:rowOff>
    </xdr:from>
    <xdr:to>
      <xdr:col>11</xdr:col>
      <xdr:colOff>35719</xdr:colOff>
      <xdr:row>7</xdr:row>
      <xdr:rowOff>119062</xdr:rowOff>
    </xdr:to>
    <xdr:sp macro="" textlink="">
      <xdr:nvSpPr>
        <xdr:cNvPr id="38" name="TextBox 37">
          <a:extLst>
            <a:ext uri="{FF2B5EF4-FFF2-40B4-BE49-F238E27FC236}">
              <a16:creationId xmlns:a16="http://schemas.microsoft.com/office/drawing/2014/main" id="{E62FBAF5-EBDC-4EE8-9429-DFF9AFB17544}"/>
            </a:ext>
          </a:extLst>
        </xdr:cNvPr>
        <xdr:cNvSpPr txBox="1"/>
      </xdr:nvSpPr>
      <xdr:spPr>
        <a:xfrm>
          <a:off x="5636418" y="1119191"/>
          <a:ext cx="1078707" cy="333371"/>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cap="none" spc="0">
              <a:ln w="0"/>
              <a:solidFill>
                <a:schemeClr val="tx1"/>
              </a:solidFill>
              <a:effectLst>
                <a:outerShdw blurRad="38100" dist="19050" dir="2700000" algn="tl" rotWithShape="0">
                  <a:schemeClr val="dk1">
                    <a:alpha val="40000"/>
                  </a:schemeClr>
                </a:outerShdw>
              </a:effectLst>
            </a:rPr>
            <a:t>Total</a:t>
          </a:r>
          <a:r>
            <a:rPr lang="en-US" sz="1600" b="0" cap="none" spc="0">
              <a:ln w="0"/>
              <a:solidFill>
                <a:schemeClr val="tx1"/>
              </a:solidFill>
              <a:effectLst>
                <a:outerShdw blurRad="38100" dist="19050" dir="2700000" algn="tl" rotWithShape="0">
                  <a:schemeClr val="dk1">
                    <a:alpha val="40000"/>
                  </a:schemeClr>
                </a:outerShdw>
              </a:effectLst>
            </a:rPr>
            <a:t> </a:t>
          </a:r>
          <a:r>
            <a:rPr lang="en-US" sz="1200" b="0" cap="none" spc="0">
              <a:ln w="0"/>
              <a:solidFill>
                <a:schemeClr val="tx1"/>
              </a:solidFill>
              <a:effectLst>
                <a:outerShdw blurRad="38100" dist="19050" dir="2700000" algn="tl" rotWithShape="0">
                  <a:schemeClr val="dk1">
                    <a:alpha val="40000"/>
                  </a:schemeClr>
                </a:outerShdw>
              </a:effectLst>
            </a:rPr>
            <a:t>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190501</xdr:colOff>
      <xdr:row>1</xdr:row>
      <xdr:rowOff>102396</xdr:rowOff>
    </xdr:from>
    <xdr:to>
      <xdr:col>2</xdr:col>
      <xdr:colOff>71438</xdr:colOff>
      <xdr:row>10</xdr:row>
      <xdr:rowOff>35719</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BAF8090D-543B-CE51-5AB6-9877FD45A9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1" y="292896"/>
              <a:ext cx="1095375" cy="1647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392906</xdr:colOff>
      <xdr:row>11</xdr:row>
      <xdr:rowOff>0</xdr:rowOff>
    </xdr:from>
    <xdr:to>
      <xdr:col>8</xdr:col>
      <xdr:colOff>404812</xdr:colOff>
      <xdr:row>20</xdr:row>
      <xdr:rowOff>83344</xdr:rowOff>
    </xdr:to>
    <xdr:graphicFrame macro="">
      <xdr:nvGraphicFramePr>
        <xdr:cNvPr id="39" name="RegionSale">
          <a:extLst>
            <a:ext uri="{FF2B5EF4-FFF2-40B4-BE49-F238E27FC236}">
              <a16:creationId xmlns:a16="http://schemas.microsoft.com/office/drawing/2014/main" id="{89915F8B-256E-4D1B-A18C-C31EEA2A3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404811</xdr:colOff>
      <xdr:row>21</xdr:row>
      <xdr:rowOff>190499</xdr:rowOff>
    </xdr:from>
    <xdr:to>
      <xdr:col>8</xdr:col>
      <xdr:colOff>333374</xdr:colOff>
      <xdr:row>30</xdr:row>
      <xdr:rowOff>83343</xdr:rowOff>
    </xdr:to>
    <xdr:graphicFrame macro="">
      <xdr:nvGraphicFramePr>
        <xdr:cNvPr id="3" name="Chart 2">
          <a:extLst>
            <a:ext uri="{FF2B5EF4-FFF2-40B4-BE49-F238E27FC236}">
              <a16:creationId xmlns:a16="http://schemas.microsoft.com/office/drawing/2014/main" id="{1C616E48-2B2C-4FFB-AABE-980C0FD5E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202406</xdr:colOff>
      <xdr:row>11</xdr:row>
      <xdr:rowOff>95251</xdr:rowOff>
    </xdr:from>
    <xdr:to>
      <xdr:col>2</xdr:col>
      <xdr:colOff>83343</xdr:colOff>
      <xdr:row>17</xdr:row>
      <xdr:rowOff>59532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8B2669B-C565-2F16-8226-287025CBD0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2406" y="2190751"/>
              <a:ext cx="1095375" cy="110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571498</xdr:colOff>
      <xdr:row>12</xdr:row>
      <xdr:rowOff>0</xdr:rowOff>
    </xdr:from>
    <xdr:to>
      <xdr:col>20</xdr:col>
      <xdr:colOff>88104</xdr:colOff>
      <xdr:row>29</xdr:row>
      <xdr:rowOff>83343</xdr:rowOff>
    </xdr:to>
    <xdr:graphicFrame macro="">
      <xdr:nvGraphicFramePr>
        <xdr:cNvPr id="23" name="Chart 22">
          <a:extLst>
            <a:ext uri="{FF2B5EF4-FFF2-40B4-BE49-F238E27FC236}">
              <a16:creationId xmlns:a16="http://schemas.microsoft.com/office/drawing/2014/main" id="{13C54FAD-38A4-4089-87B4-9AF552D5C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238124</xdr:colOff>
      <xdr:row>0</xdr:row>
      <xdr:rowOff>119063</xdr:rowOff>
    </xdr:from>
    <xdr:to>
      <xdr:col>24</xdr:col>
      <xdr:colOff>607218</xdr:colOff>
      <xdr:row>10</xdr:row>
      <xdr:rowOff>95250</xdr:rowOff>
    </xdr:to>
    <xdr:sp macro="" textlink="">
      <xdr:nvSpPr>
        <xdr:cNvPr id="29" name="Rectangle: Rounded Corners 28">
          <a:extLst>
            <a:ext uri="{FF2B5EF4-FFF2-40B4-BE49-F238E27FC236}">
              <a16:creationId xmlns:a16="http://schemas.microsoft.com/office/drawing/2014/main" id="{A2C0056A-97E3-4B5E-9AA8-06377E1A7437}"/>
            </a:ext>
          </a:extLst>
        </xdr:cNvPr>
        <xdr:cNvSpPr/>
      </xdr:nvSpPr>
      <xdr:spPr>
        <a:xfrm>
          <a:off x="12382499" y="119063"/>
          <a:ext cx="2797969" cy="1881187"/>
        </a:xfrm>
        <a:prstGeom prst="roundRect">
          <a:avLst>
            <a:gd name="adj" fmla="val 7524"/>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261937</xdr:colOff>
      <xdr:row>10</xdr:row>
      <xdr:rowOff>119064</xdr:rowOff>
    </xdr:from>
    <xdr:to>
      <xdr:col>24</xdr:col>
      <xdr:colOff>607218</xdr:colOff>
      <xdr:row>31</xdr:row>
      <xdr:rowOff>23814</xdr:rowOff>
    </xdr:to>
    <xdr:sp macro="" textlink="">
      <xdr:nvSpPr>
        <xdr:cNvPr id="30" name="Rectangle: Rounded Corners 29">
          <a:extLst>
            <a:ext uri="{FF2B5EF4-FFF2-40B4-BE49-F238E27FC236}">
              <a16:creationId xmlns:a16="http://schemas.microsoft.com/office/drawing/2014/main" id="{C0445BE5-D31D-4E11-A091-93089E07B120}"/>
            </a:ext>
          </a:extLst>
        </xdr:cNvPr>
        <xdr:cNvSpPr/>
      </xdr:nvSpPr>
      <xdr:spPr>
        <a:xfrm>
          <a:off x="12406312" y="2024064"/>
          <a:ext cx="2774156" cy="3905250"/>
        </a:xfrm>
        <a:prstGeom prst="roundRect">
          <a:avLst>
            <a:gd name="adj" fmla="val 3232"/>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20</xdr:col>
      <xdr:colOff>416718</xdr:colOff>
      <xdr:row>0</xdr:row>
      <xdr:rowOff>178593</xdr:rowOff>
    </xdr:from>
    <xdr:to>
      <xdr:col>24</xdr:col>
      <xdr:colOff>511968</xdr:colOff>
      <xdr:row>10</xdr:row>
      <xdr:rowOff>23812</xdr:rowOff>
    </xdr:to>
    <mc:AlternateContent xmlns:mc="http://schemas.openxmlformats.org/markup-compatibility/2006" xmlns:a14="http://schemas.microsoft.com/office/drawing/2010/main">
      <mc:Choice Requires="a14">
        <xdr:graphicFrame macro="">
          <xdr:nvGraphicFramePr>
            <xdr:cNvPr id="43" name="Product">
              <a:extLst>
                <a:ext uri="{FF2B5EF4-FFF2-40B4-BE49-F238E27FC236}">
                  <a16:creationId xmlns:a16="http://schemas.microsoft.com/office/drawing/2014/main" id="{D7BEA87D-17FD-ADB5-DF3C-CFB202382D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561093" y="178593"/>
              <a:ext cx="2524125" cy="1750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583406</xdr:colOff>
      <xdr:row>12</xdr:row>
      <xdr:rowOff>47625</xdr:rowOff>
    </xdr:from>
    <xdr:to>
      <xdr:col>24</xdr:col>
      <xdr:colOff>476250</xdr:colOff>
      <xdr:row>29</xdr:row>
      <xdr:rowOff>23813</xdr:rowOff>
    </xdr:to>
    <xdr:graphicFrame macro="">
      <xdr:nvGraphicFramePr>
        <xdr:cNvPr id="45" name="Chart 44">
          <a:extLst>
            <a:ext uri="{FF2B5EF4-FFF2-40B4-BE49-F238E27FC236}">
              <a16:creationId xmlns:a16="http://schemas.microsoft.com/office/drawing/2014/main" id="{1302C17F-CB0C-4EE4-96DA-96961925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357188</xdr:colOff>
      <xdr:row>5</xdr:row>
      <xdr:rowOff>83342</xdr:rowOff>
    </xdr:from>
    <xdr:to>
      <xdr:col>15</xdr:col>
      <xdr:colOff>583406</xdr:colOff>
      <xdr:row>10</xdr:row>
      <xdr:rowOff>30842</xdr:rowOff>
    </xdr:to>
    <xdr:sp macro="" textlink="">
      <xdr:nvSpPr>
        <xdr:cNvPr id="46" name="Rectangle: Rounded Corners 45">
          <a:extLst>
            <a:ext uri="{FF2B5EF4-FFF2-40B4-BE49-F238E27FC236}">
              <a16:creationId xmlns:a16="http://schemas.microsoft.com/office/drawing/2014/main" id="{7A87C84C-B317-4326-B006-2FAF286847CD}"/>
            </a:ext>
          </a:extLst>
        </xdr:cNvPr>
        <xdr:cNvSpPr/>
      </xdr:nvSpPr>
      <xdr:spPr>
        <a:xfrm>
          <a:off x="7036594" y="1035842"/>
          <a:ext cx="2655093" cy="900000"/>
        </a:xfrm>
        <a:prstGeom prst="roundRect">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345281</xdr:colOff>
      <xdr:row>5</xdr:row>
      <xdr:rowOff>73589</xdr:rowOff>
    </xdr:from>
    <xdr:to>
      <xdr:col>13</xdr:col>
      <xdr:colOff>440531</xdr:colOff>
      <xdr:row>9</xdr:row>
      <xdr:rowOff>107156</xdr:rowOff>
    </xdr:to>
    <xdr:pic>
      <xdr:nvPicPr>
        <xdr:cNvPr id="48" name="Picture 47">
          <a:extLst>
            <a:ext uri="{FF2B5EF4-FFF2-40B4-BE49-F238E27FC236}">
              <a16:creationId xmlns:a16="http://schemas.microsoft.com/office/drawing/2014/main" id="{EE12582B-9E30-93CD-2C19-CA332370B89E}"/>
            </a:ext>
          </a:extLst>
        </xdr:cNvPr>
        <xdr:cNvPicPr>
          <a:picLocks noChangeAspect="1"/>
        </xdr:cNvPicPr>
      </xdr:nvPicPr>
      <xdr:blipFill>
        <a:blip xmlns:r="http://schemas.openxmlformats.org/officeDocument/2006/relationships" r:embed="rId11" cstate="print">
          <a:alphaModFix/>
          <a:duotone>
            <a:prstClr val="black"/>
            <a:schemeClr val="accent1">
              <a:tint val="45000"/>
              <a:satMod val="400000"/>
            </a:schemeClr>
          </a:duotone>
          <a:extLst>
            <a:ext uri="{BEBA8EAE-BF5A-486C-A8C5-ECC9F3942E4B}">
              <a14:imgProps xmlns:a14="http://schemas.microsoft.com/office/drawing/2010/main">
                <a14:imgLayer r:embed="rId12">
                  <a14:imgEffect>
                    <a14:saturation sat="3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a:off x="7024687" y="1026089"/>
          <a:ext cx="1309688" cy="795567"/>
        </a:xfrm>
        <a:prstGeom prst="ellipse">
          <a:avLst/>
        </a:prstGeom>
        <a:ln>
          <a:noFill/>
        </a:ln>
        <a:effectLst>
          <a:softEdge rad="112500"/>
        </a:effectLst>
      </xdr:spPr>
    </xdr:pic>
    <xdr:clientData/>
  </xdr:twoCellAnchor>
  <xdr:twoCellAnchor>
    <xdr:from>
      <xdr:col>13</xdr:col>
      <xdr:colOff>464344</xdr:colOff>
      <xdr:row>5</xdr:row>
      <xdr:rowOff>166686</xdr:rowOff>
    </xdr:from>
    <xdr:to>
      <xdr:col>15</xdr:col>
      <xdr:colOff>357188</xdr:colOff>
      <xdr:row>7</xdr:row>
      <xdr:rowOff>130967</xdr:rowOff>
    </xdr:to>
    <xdr:sp macro="" textlink="">
      <xdr:nvSpPr>
        <xdr:cNvPr id="55" name="TextBox 54">
          <a:extLst>
            <a:ext uri="{FF2B5EF4-FFF2-40B4-BE49-F238E27FC236}">
              <a16:creationId xmlns:a16="http://schemas.microsoft.com/office/drawing/2014/main" id="{5D31F7D8-5E0E-414D-B961-8A916714C6ED}"/>
            </a:ext>
          </a:extLst>
        </xdr:cNvPr>
        <xdr:cNvSpPr txBox="1"/>
      </xdr:nvSpPr>
      <xdr:spPr>
        <a:xfrm>
          <a:off x="8358188" y="1119186"/>
          <a:ext cx="1107281" cy="345281"/>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cap="none" spc="0">
              <a:ln w="0"/>
              <a:solidFill>
                <a:schemeClr val="tx1"/>
              </a:solidFill>
              <a:effectLst>
                <a:outerShdw blurRad="38100" dist="19050" dir="2700000" algn="tl" rotWithShape="0">
                  <a:schemeClr val="dk1">
                    <a:alpha val="40000"/>
                  </a:schemeClr>
                </a:outerShdw>
              </a:effectLst>
            </a:rPr>
            <a:t>Total Sale</a:t>
          </a:r>
        </a:p>
      </xdr:txBody>
    </xdr:sp>
    <xdr:clientData/>
  </xdr:twoCellAnchor>
  <xdr:twoCellAnchor>
    <xdr:from>
      <xdr:col>13</xdr:col>
      <xdr:colOff>464344</xdr:colOff>
      <xdr:row>8</xdr:row>
      <xdr:rowOff>11906</xdr:rowOff>
    </xdr:from>
    <xdr:to>
      <xdr:col>15</xdr:col>
      <xdr:colOff>357188</xdr:colOff>
      <xdr:row>9</xdr:row>
      <xdr:rowOff>154781</xdr:rowOff>
    </xdr:to>
    <xdr:sp macro="" textlink="PivotTableSectionG!F42">
      <xdr:nvSpPr>
        <xdr:cNvPr id="56" name="TextBox 55">
          <a:extLst>
            <a:ext uri="{FF2B5EF4-FFF2-40B4-BE49-F238E27FC236}">
              <a16:creationId xmlns:a16="http://schemas.microsoft.com/office/drawing/2014/main" id="{979D2C7D-03C6-E0F2-B67A-7BC73A00B03B}"/>
            </a:ext>
          </a:extLst>
        </xdr:cNvPr>
        <xdr:cNvSpPr txBox="1"/>
      </xdr:nvSpPr>
      <xdr:spPr>
        <a:xfrm>
          <a:off x="8358188" y="1535906"/>
          <a:ext cx="1107281" cy="333375"/>
        </a:xfrm>
        <a:prstGeom prst="rect">
          <a:avLst/>
        </a:prstGeom>
        <a:solidFill>
          <a:schemeClr val="tx2">
            <a:lumMod val="25000"/>
            <a:lumOff val="75000"/>
          </a:schemeClr>
        </a:solidFill>
        <a:ln w="9525" cmpd="sng">
          <a:noFill/>
        </a:ln>
        <a:effectLst>
          <a:innerShdw blurRad="63500" dist="50800" dir="5400000">
            <a:prstClr val="black">
              <a:alpha val="50000"/>
            </a:prstClr>
          </a:inn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76DD5-C672-40C9-A508-2585B7F7E3E6}" type="TxLink">
            <a:rPr lang="en-US" sz="1100" b="0" i="0" u="none" strike="noStrike">
              <a:solidFill>
                <a:srgbClr val="000000"/>
              </a:solidFill>
              <a:latin typeface="Aptos Narrow"/>
            </a:rPr>
            <a:pPr/>
            <a:t>200</a:t>
          </a:fld>
          <a:endParaRPr lang="en-US" sz="1100"/>
        </a:p>
      </xdr:txBody>
    </xdr:sp>
    <xdr:clientData/>
  </xdr:twoCellAnchor>
  <xdr:twoCellAnchor>
    <xdr:from>
      <xdr:col>9</xdr:col>
      <xdr:colOff>130968</xdr:colOff>
      <xdr:row>11</xdr:row>
      <xdr:rowOff>107156</xdr:rowOff>
    </xdr:from>
    <xdr:to>
      <xdr:col>13</xdr:col>
      <xdr:colOff>214312</xdr:colOff>
      <xdr:row>30</xdr:row>
      <xdr:rowOff>59531</xdr:rowOff>
    </xdr:to>
    <xdr:graphicFrame macro="">
      <xdr:nvGraphicFramePr>
        <xdr:cNvPr id="61" name="Chart 60">
          <a:extLst>
            <a:ext uri="{FF2B5EF4-FFF2-40B4-BE49-F238E27FC236}">
              <a16:creationId xmlns:a16="http://schemas.microsoft.com/office/drawing/2014/main" id="{89C74F98-AFBE-48B2-ADEC-1CD181F7F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202406</xdr:colOff>
      <xdr:row>18</xdr:row>
      <xdr:rowOff>35719</xdr:rowOff>
    </xdr:from>
    <xdr:to>
      <xdr:col>2</xdr:col>
      <xdr:colOff>95249</xdr:colOff>
      <xdr:row>28</xdr:row>
      <xdr:rowOff>11906</xdr:rowOff>
    </xdr:to>
    <mc:AlternateContent xmlns:mc="http://schemas.openxmlformats.org/markup-compatibility/2006" xmlns:a14="http://schemas.microsoft.com/office/drawing/2010/main">
      <mc:Choice Requires="a14">
        <xdr:graphicFrame macro="">
          <xdr:nvGraphicFramePr>
            <xdr:cNvPr id="63" name="SalesPerson">
              <a:extLst>
                <a:ext uri="{FF2B5EF4-FFF2-40B4-BE49-F238E27FC236}">
                  <a16:creationId xmlns:a16="http://schemas.microsoft.com/office/drawing/2014/main" id="{53BBF909-BB7D-4BE5-A305-035626B00CB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02406" y="3464719"/>
              <a:ext cx="1107281" cy="1881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28576</xdr:colOff>
      <xdr:row>5</xdr:row>
      <xdr:rowOff>107157</xdr:rowOff>
    </xdr:from>
    <xdr:to>
      <xdr:col>20</xdr:col>
      <xdr:colOff>214312</xdr:colOff>
      <xdr:row>10</xdr:row>
      <xdr:rowOff>54657</xdr:rowOff>
    </xdr:to>
    <xdr:sp macro="" textlink="">
      <xdr:nvSpPr>
        <xdr:cNvPr id="1024" name="Rectangle: Rounded Corners 1023">
          <a:extLst>
            <a:ext uri="{FF2B5EF4-FFF2-40B4-BE49-F238E27FC236}">
              <a16:creationId xmlns:a16="http://schemas.microsoft.com/office/drawing/2014/main" id="{C2FE520B-1230-43D9-B1BF-15B796E813E1}"/>
            </a:ext>
          </a:extLst>
        </xdr:cNvPr>
        <xdr:cNvSpPr/>
      </xdr:nvSpPr>
      <xdr:spPr>
        <a:xfrm>
          <a:off x="9744076" y="1059657"/>
          <a:ext cx="2614611" cy="900000"/>
        </a:xfrm>
        <a:prstGeom prst="roundRect">
          <a:avLst/>
        </a:prstGeom>
        <a:solidFill>
          <a:schemeClr val="tx1">
            <a:lumMod val="50000"/>
            <a:lumOff val="50000"/>
          </a:schemeClr>
        </a:solidFill>
        <a:ln>
          <a:noFill/>
        </a:ln>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95249</xdr:colOff>
      <xdr:row>6</xdr:row>
      <xdr:rowOff>23812</xdr:rowOff>
    </xdr:from>
    <xdr:to>
      <xdr:col>20</xdr:col>
      <xdr:colOff>95250</xdr:colOff>
      <xdr:row>8</xdr:row>
      <xdr:rowOff>11906</xdr:rowOff>
    </xdr:to>
    <xdr:sp macro="" textlink="">
      <xdr:nvSpPr>
        <xdr:cNvPr id="1027" name="TextBox 1026">
          <a:extLst>
            <a:ext uri="{FF2B5EF4-FFF2-40B4-BE49-F238E27FC236}">
              <a16:creationId xmlns:a16="http://schemas.microsoft.com/office/drawing/2014/main" id="{64BC6328-C375-47E4-B4CC-E663059E9E82}"/>
            </a:ext>
          </a:extLst>
        </xdr:cNvPr>
        <xdr:cNvSpPr txBox="1"/>
      </xdr:nvSpPr>
      <xdr:spPr>
        <a:xfrm>
          <a:off x="10417968" y="1166812"/>
          <a:ext cx="1821657" cy="369094"/>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cap="none" spc="0">
              <a:ln w="0"/>
              <a:solidFill>
                <a:schemeClr val="tx1"/>
              </a:solidFill>
              <a:effectLst>
                <a:outerShdw blurRad="38100" dist="19050" dir="2700000" algn="tl" rotWithShape="0">
                  <a:schemeClr val="dk1">
                    <a:alpha val="40000"/>
                  </a:schemeClr>
                </a:outerShdw>
              </a:effectLst>
            </a:rPr>
            <a:t>Best Sales</a:t>
          </a:r>
          <a:r>
            <a:rPr lang="en-US" sz="1200" b="0" cap="none" spc="0" baseline="0">
              <a:ln w="0"/>
              <a:solidFill>
                <a:schemeClr val="tx1"/>
              </a:solidFill>
              <a:effectLst>
                <a:outerShdw blurRad="38100" dist="19050" dir="2700000" algn="tl" rotWithShape="0">
                  <a:schemeClr val="dk1">
                    <a:alpha val="40000"/>
                  </a:schemeClr>
                </a:outerShdw>
              </a:effectLst>
            </a:rPr>
            <a:t>    Person</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15</xdr:col>
      <xdr:colOff>583405</xdr:colOff>
      <xdr:row>5</xdr:row>
      <xdr:rowOff>142874</xdr:rowOff>
    </xdr:from>
    <xdr:to>
      <xdr:col>17</xdr:col>
      <xdr:colOff>142872</xdr:colOff>
      <xdr:row>10</xdr:row>
      <xdr:rowOff>33335</xdr:rowOff>
    </xdr:to>
    <xdr:pic>
      <xdr:nvPicPr>
        <xdr:cNvPr id="1029" name="Picture 1028">
          <a:extLst>
            <a:ext uri="{FF2B5EF4-FFF2-40B4-BE49-F238E27FC236}">
              <a16:creationId xmlns:a16="http://schemas.microsoft.com/office/drawing/2014/main" id="{CD1221D3-B9CF-0B81-616F-E7D908DF2FB3}"/>
            </a:ext>
          </a:extLst>
        </xdr:cNvPr>
        <xdr:cNvPicPr>
          <a:picLocks noChangeAspect="1"/>
        </xdr:cNvPicPr>
      </xdr:nvPicPr>
      <xdr:blipFill>
        <a:blip xmlns:r="http://schemas.openxmlformats.org/officeDocument/2006/relationships" r:embed="rId15" cstate="print">
          <a:duotone>
            <a:prstClr val="black"/>
            <a:schemeClr val="accent1">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9691686" y="1095374"/>
          <a:ext cx="773905" cy="842961"/>
        </a:xfrm>
        <a:prstGeom prst="ellipse">
          <a:avLst/>
        </a:prstGeom>
        <a:solidFill>
          <a:schemeClr val="accent3">
            <a:lumMod val="20000"/>
            <a:lumOff val="80000"/>
          </a:schemeClr>
        </a:solidFill>
        <a:ln>
          <a:solidFill>
            <a:schemeClr val="accent1">
              <a:lumMod val="40000"/>
              <a:lumOff val="60000"/>
            </a:schemeClr>
          </a:solidFill>
        </a:ln>
        <a:effectLst>
          <a:softEdge rad="112500"/>
        </a:effectLst>
      </xdr:spPr>
    </xdr:pic>
    <xdr:clientData/>
  </xdr:twoCellAnchor>
  <xdr:twoCellAnchor>
    <xdr:from>
      <xdr:col>17</xdr:col>
      <xdr:colOff>504826</xdr:colOff>
      <xdr:row>8</xdr:row>
      <xdr:rowOff>95251</xdr:rowOff>
    </xdr:from>
    <xdr:to>
      <xdr:col>19</xdr:col>
      <xdr:colOff>373857</xdr:colOff>
      <xdr:row>10</xdr:row>
      <xdr:rowOff>0</xdr:rowOff>
    </xdr:to>
    <xdr:sp macro="" textlink="PivotTableSectionG!B49">
      <xdr:nvSpPr>
        <xdr:cNvPr id="1030" name="TextBox 1029">
          <a:extLst>
            <a:ext uri="{FF2B5EF4-FFF2-40B4-BE49-F238E27FC236}">
              <a16:creationId xmlns:a16="http://schemas.microsoft.com/office/drawing/2014/main" id="{9994C49F-E2FD-4CEB-9CF6-6DD2ECC6ABEE}"/>
            </a:ext>
          </a:extLst>
        </xdr:cNvPr>
        <xdr:cNvSpPr txBox="1"/>
      </xdr:nvSpPr>
      <xdr:spPr>
        <a:xfrm>
          <a:off x="10827545" y="1619251"/>
          <a:ext cx="1083468" cy="285749"/>
        </a:xfrm>
        <a:prstGeom prst="rect">
          <a:avLst/>
        </a:prstGeom>
        <a:solidFill>
          <a:schemeClr val="tx2">
            <a:lumMod val="25000"/>
            <a:lumOff val="75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FA4F9-FB31-481B-8610-AC94E0E5C8C4}"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pPr/>
            <a:t>Aisha</a:t>
          </a:fld>
          <a:endParaRPr lang="en-US" sz="1400" b="0" cap="none" spc="0">
            <a:ln w="0"/>
            <a:solidFill>
              <a:schemeClr val="tx2">
                <a:lumMod val="10000"/>
                <a:lumOff val="90000"/>
              </a:schemeClr>
            </a:solidFill>
            <a:effectLst>
              <a:outerShdw blurRad="38100" dist="25400" dir="5400000" algn="ctr" rotWithShape="0">
                <a:srgbClr val="6E747A">
                  <a:alpha val="43000"/>
                </a:srgb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1</xdr:rowOff>
    </xdr:from>
    <xdr:to>
      <xdr:col>2</xdr:col>
      <xdr:colOff>133350</xdr:colOff>
      <xdr:row>26</xdr:row>
      <xdr:rowOff>152400</xdr:rowOff>
    </xdr:to>
    <xdr:sp macro="" textlink="">
      <xdr:nvSpPr>
        <xdr:cNvPr id="2" name="Rectangle: Rounded Corners 1">
          <a:extLst>
            <a:ext uri="{FF2B5EF4-FFF2-40B4-BE49-F238E27FC236}">
              <a16:creationId xmlns:a16="http://schemas.microsoft.com/office/drawing/2014/main" id="{E7C875D3-3FF6-59FD-5EFE-F9C9E04DF8C3}"/>
            </a:ext>
          </a:extLst>
        </xdr:cNvPr>
        <xdr:cNvSpPr/>
      </xdr:nvSpPr>
      <xdr:spPr>
        <a:xfrm>
          <a:off x="9525" y="1"/>
          <a:ext cx="1343025" cy="5105399"/>
        </a:xfrm>
        <a:prstGeom prst="roundRect">
          <a:avLst/>
        </a:prstGeom>
        <a:gradFill flip="none" rotWithShape="1">
          <a:gsLst>
            <a:gs pos="0">
              <a:schemeClr val="accent5">
                <a:lumMod val="60000"/>
                <a:lumOff val="40000"/>
              </a:schemeClr>
            </a:gs>
            <a:gs pos="74000">
              <a:schemeClr val="accent5">
                <a:lumMod val="20000"/>
                <a:lumOff val="80000"/>
              </a:schemeClr>
            </a:gs>
            <a:gs pos="42000">
              <a:schemeClr val="bg1">
                <a:lumMod val="95000"/>
              </a:schemeClr>
            </a:gs>
            <a:gs pos="100000">
              <a:srgbClr val="C057D5"/>
            </a:gs>
          </a:gsLst>
          <a:lin ang="27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152398</xdr:colOff>
      <xdr:row>3</xdr:row>
      <xdr:rowOff>171450</xdr:rowOff>
    </xdr:from>
    <xdr:to>
      <xdr:col>6</xdr:col>
      <xdr:colOff>342900</xdr:colOff>
      <xdr:row>8</xdr:row>
      <xdr:rowOff>161925</xdr:rowOff>
    </xdr:to>
    <xdr:sp macro="" textlink="">
      <xdr:nvSpPr>
        <xdr:cNvPr id="4" name="Rectangle: Rounded Corners 3">
          <a:extLst>
            <a:ext uri="{FF2B5EF4-FFF2-40B4-BE49-F238E27FC236}">
              <a16:creationId xmlns:a16="http://schemas.microsoft.com/office/drawing/2014/main" id="{B605FD9F-C80B-2AC2-E360-B17107A002DD}"/>
            </a:ext>
          </a:extLst>
        </xdr:cNvPr>
        <xdr:cNvSpPr/>
      </xdr:nvSpPr>
      <xdr:spPr>
        <a:xfrm>
          <a:off x="1371598" y="742950"/>
          <a:ext cx="2628902" cy="942975"/>
        </a:xfrm>
        <a:prstGeom prst="roundRect">
          <a:avLst/>
        </a:prstGeom>
        <a:solidFill>
          <a:schemeClr val="accent5">
            <a:lumMod val="40000"/>
            <a:lumOff val="60000"/>
          </a:scheme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466725</xdr:colOff>
      <xdr:row>4</xdr:row>
      <xdr:rowOff>0</xdr:rowOff>
    </xdr:from>
    <xdr:to>
      <xdr:col>11</xdr:col>
      <xdr:colOff>46725</xdr:colOff>
      <xdr:row>8</xdr:row>
      <xdr:rowOff>181200</xdr:rowOff>
    </xdr:to>
    <xdr:sp macro="" textlink="">
      <xdr:nvSpPr>
        <xdr:cNvPr id="5" name="Rectangle: Rounded Corners 4">
          <a:extLst>
            <a:ext uri="{FF2B5EF4-FFF2-40B4-BE49-F238E27FC236}">
              <a16:creationId xmlns:a16="http://schemas.microsoft.com/office/drawing/2014/main" id="{050DB0A2-092D-4FB3-B597-DEF63B5974EA}"/>
            </a:ext>
          </a:extLst>
        </xdr:cNvPr>
        <xdr:cNvSpPr/>
      </xdr:nvSpPr>
      <xdr:spPr>
        <a:xfrm>
          <a:off x="4124325" y="762000"/>
          <a:ext cx="2628000" cy="943200"/>
        </a:xfrm>
        <a:prstGeom prst="roundRect">
          <a:avLst/>
        </a:prstGeom>
        <a:solidFill>
          <a:schemeClr val="accent5">
            <a:lumMod val="40000"/>
            <a:lumOff val="60000"/>
          </a:schemeClr>
        </a:solidFill>
        <a:ln>
          <a:noFill/>
        </a:ln>
        <a:effectLst/>
        <a:scene3d>
          <a:camera prst="orthographicFront">
            <a:rot lat="0" lon="0" rev="0"/>
          </a:camera>
          <a:lightRig rig="contrasting" dir="t">
            <a:rot lat="0" lon="0" rev="1500000"/>
          </a:lightRig>
        </a:scene3d>
        <a:sp3d prstMaterial="meta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4</xdr:row>
      <xdr:rowOff>0</xdr:rowOff>
    </xdr:from>
    <xdr:to>
      <xdr:col>15</xdr:col>
      <xdr:colOff>380100</xdr:colOff>
      <xdr:row>8</xdr:row>
      <xdr:rowOff>181200</xdr:rowOff>
    </xdr:to>
    <xdr:sp macro="" textlink="">
      <xdr:nvSpPr>
        <xdr:cNvPr id="6" name="Rectangle: Rounded Corners 5">
          <a:extLst>
            <a:ext uri="{FF2B5EF4-FFF2-40B4-BE49-F238E27FC236}">
              <a16:creationId xmlns:a16="http://schemas.microsoft.com/office/drawing/2014/main" id="{06E87585-C774-4BDE-946D-AE544B2B8C9C}"/>
            </a:ext>
          </a:extLst>
        </xdr:cNvPr>
        <xdr:cNvSpPr/>
      </xdr:nvSpPr>
      <xdr:spPr>
        <a:xfrm>
          <a:off x="6896100" y="762000"/>
          <a:ext cx="2628000" cy="943200"/>
        </a:xfrm>
        <a:prstGeom prst="roundRect">
          <a:avLst/>
        </a:prstGeom>
        <a:solidFill>
          <a:schemeClr val="accent5">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466725</xdr:colOff>
      <xdr:row>4</xdr:row>
      <xdr:rowOff>0</xdr:rowOff>
    </xdr:from>
    <xdr:to>
      <xdr:col>20</xdr:col>
      <xdr:colOff>46725</xdr:colOff>
      <xdr:row>8</xdr:row>
      <xdr:rowOff>184800</xdr:rowOff>
    </xdr:to>
    <xdr:sp macro="" textlink="">
      <xdr:nvSpPr>
        <xdr:cNvPr id="7" name="Rectangle: Rounded Corners 6">
          <a:extLst>
            <a:ext uri="{FF2B5EF4-FFF2-40B4-BE49-F238E27FC236}">
              <a16:creationId xmlns:a16="http://schemas.microsoft.com/office/drawing/2014/main" id="{3C10FBA7-CD31-401D-8364-BDD5AC1302F2}"/>
            </a:ext>
          </a:extLst>
        </xdr:cNvPr>
        <xdr:cNvSpPr/>
      </xdr:nvSpPr>
      <xdr:spPr>
        <a:xfrm>
          <a:off x="9610725" y="762000"/>
          <a:ext cx="2628000" cy="946800"/>
        </a:xfrm>
        <a:prstGeom prst="roundRect">
          <a:avLst/>
        </a:prstGeom>
        <a:solidFill>
          <a:schemeClr val="accent5">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104775</xdr:colOff>
      <xdr:row>0</xdr:row>
      <xdr:rowOff>104776</xdr:rowOff>
    </xdr:from>
    <xdr:to>
      <xdr:col>1</xdr:col>
      <xdr:colOff>590550</xdr:colOff>
      <xdr:row>9</xdr:row>
      <xdr:rowOff>38099</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548163A7-A658-42E5-A5D4-D7E09A178A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775" y="104776"/>
              <a:ext cx="1095375" cy="1647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9</xdr:row>
      <xdr:rowOff>104776</xdr:rowOff>
    </xdr:from>
    <xdr:to>
      <xdr:col>1</xdr:col>
      <xdr:colOff>571500</xdr:colOff>
      <xdr:row>15</xdr:row>
      <xdr:rowOff>69057</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D462DAFA-FBE1-400D-96DB-E0971AC813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5725" y="1819276"/>
              <a:ext cx="1095375" cy="110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15</xdr:row>
      <xdr:rowOff>161926</xdr:rowOff>
    </xdr:from>
    <xdr:to>
      <xdr:col>1</xdr:col>
      <xdr:colOff>592931</xdr:colOff>
      <xdr:row>25</xdr:row>
      <xdr:rowOff>138113</xdr:rowOff>
    </xdr:to>
    <mc:AlternateContent xmlns:mc="http://schemas.openxmlformats.org/markup-compatibility/2006" xmlns:a14="http://schemas.microsoft.com/office/drawing/2010/main">
      <mc:Choice Requires="a14">
        <xdr:graphicFrame macro="">
          <xdr:nvGraphicFramePr>
            <xdr:cNvPr id="12" name="SalesPerson 1">
              <a:extLst>
                <a:ext uri="{FF2B5EF4-FFF2-40B4-BE49-F238E27FC236}">
                  <a16:creationId xmlns:a16="http://schemas.microsoft.com/office/drawing/2014/main" id="{25208816-8446-43B4-9665-D6F4E2919AE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95250" y="3019426"/>
              <a:ext cx="1107281" cy="1881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167367</xdr:colOff>
      <xdr:row>4</xdr:row>
      <xdr:rowOff>142875</xdr:rowOff>
    </xdr:from>
    <xdr:to>
      <xdr:col>3</xdr:col>
      <xdr:colOff>171450</xdr:colOff>
      <xdr:row>8</xdr:row>
      <xdr:rowOff>9525</xdr:rowOff>
    </xdr:to>
    <xdr:pic>
      <xdr:nvPicPr>
        <xdr:cNvPr id="20" name="Graphic 19" descr="Dollar with solid fill">
          <a:extLst>
            <a:ext uri="{FF2B5EF4-FFF2-40B4-BE49-F238E27FC236}">
              <a16:creationId xmlns:a16="http://schemas.microsoft.com/office/drawing/2014/main" id="{EAF2EC1F-B861-EAE4-2CEA-CA42BCF74A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86567" y="904875"/>
          <a:ext cx="613683" cy="628650"/>
        </a:xfrm>
        <a:prstGeom prst="rect">
          <a:avLst/>
        </a:prstGeom>
        <a:effectLst>
          <a:innerShdw blurRad="114300">
            <a:prstClr val="black"/>
          </a:innerShdw>
        </a:effectLst>
        <a:scene3d>
          <a:camera prst="orthographicFront"/>
          <a:lightRig rig="threePt" dir="t"/>
        </a:scene3d>
        <a:sp3d>
          <a:bevelT/>
        </a:sp3d>
      </xdr:spPr>
    </xdr:pic>
    <xdr:clientData/>
  </xdr:twoCellAnchor>
  <xdr:twoCellAnchor editAs="oneCell">
    <xdr:from>
      <xdr:col>7</xdr:col>
      <xdr:colOff>104775</xdr:colOff>
      <xdr:row>5</xdr:row>
      <xdr:rowOff>9525</xdr:rowOff>
    </xdr:from>
    <xdr:to>
      <xdr:col>8</xdr:col>
      <xdr:colOff>85415</xdr:colOff>
      <xdr:row>7</xdr:row>
      <xdr:rowOff>169425</xdr:rowOff>
    </xdr:to>
    <xdr:pic>
      <xdr:nvPicPr>
        <xdr:cNvPr id="24" name="Picture 23">
          <a:extLst>
            <a:ext uri="{FF2B5EF4-FFF2-40B4-BE49-F238E27FC236}">
              <a16:creationId xmlns:a16="http://schemas.microsoft.com/office/drawing/2014/main" id="{D634345D-9749-4F48-050A-0DB6E04D210C}"/>
            </a:ext>
          </a:extLst>
        </xdr:cNvPr>
        <xdr:cNvPicPr>
          <a:picLocks noChangeAspect="1"/>
        </xdr:cNvPicPr>
      </xdr:nvPicPr>
      <xdr:blipFill>
        <a:blip xmlns:r="http://schemas.openxmlformats.org/officeDocument/2006/relationships" r:embed="rId3" cstate="print">
          <a:duotone>
            <a:prstClr val="black"/>
            <a:schemeClr val="accent5">
              <a:tint val="45000"/>
              <a:satMod val="400000"/>
            </a:schemeClr>
          </a:duotone>
          <a:extLst>
            <a:ext uri="{BEBA8EAE-BF5A-486C-A8C5-ECC9F3942E4B}">
              <a14:imgProps xmlns:a14="http://schemas.microsoft.com/office/drawing/2010/main">
                <a14:imgLayer r:embed="rId4">
                  <a14:imgEffect>
                    <a14:colorTemperature colorTemp="112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4371975" y="962025"/>
          <a:ext cx="590240" cy="540900"/>
        </a:xfrm>
        <a:prstGeom prst="rect">
          <a:avLst/>
        </a:prstGeom>
        <a:ln>
          <a:noFill/>
        </a:ln>
        <a:scene3d>
          <a:camera prst="orthographicFront"/>
          <a:lightRig rig="threePt" dir="t"/>
        </a:scene3d>
        <a:sp3d>
          <a:bevelT/>
        </a:sp3d>
      </xdr:spPr>
    </xdr:pic>
    <xdr:clientData/>
  </xdr:twoCellAnchor>
  <xdr:twoCellAnchor editAs="oneCell">
    <xdr:from>
      <xdr:col>11</xdr:col>
      <xdr:colOff>218935</xdr:colOff>
      <xdr:row>4</xdr:row>
      <xdr:rowOff>179855</xdr:rowOff>
    </xdr:from>
    <xdr:to>
      <xdr:col>13</xdr:col>
      <xdr:colOff>161925</xdr:colOff>
      <xdr:row>8</xdr:row>
      <xdr:rowOff>123825</xdr:rowOff>
    </xdr:to>
    <xdr:pic>
      <xdr:nvPicPr>
        <xdr:cNvPr id="25" name="Picture 24">
          <a:extLst>
            <a:ext uri="{FF2B5EF4-FFF2-40B4-BE49-F238E27FC236}">
              <a16:creationId xmlns:a16="http://schemas.microsoft.com/office/drawing/2014/main" id="{69D52F77-5A5C-49C4-9063-91CA1FBECD7E}"/>
            </a:ext>
          </a:extLst>
        </xdr:cNvPr>
        <xdr:cNvPicPr>
          <a:picLocks noChangeAspect="1"/>
        </xdr:cNvPicPr>
      </xdr:nvPicPr>
      <xdr:blipFill>
        <a:blip xmlns:r="http://schemas.openxmlformats.org/officeDocument/2006/relationships" r:embed="rId6" cstate="print">
          <a:alphaModFix/>
          <a:duotone>
            <a:schemeClr val="accent5">
              <a:shade val="45000"/>
              <a:satMod val="135000"/>
            </a:schemeClr>
            <a:prstClr val="white"/>
          </a:duotone>
          <a:extLst>
            <a:ext uri="{BEBA8EAE-BF5A-486C-A8C5-ECC9F3942E4B}">
              <a14:imgProps xmlns:a14="http://schemas.microsoft.com/office/drawing/2010/main">
                <a14:imgLayer r:embed="rId7">
                  <a14:imgEffect>
                    <a14:saturation sat="4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6924535" y="941855"/>
          <a:ext cx="1162190" cy="705970"/>
        </a:xfrm>
        <a:prstGeom prst="ellipse">
          <a:avLst/>
        </a:prstGeom>
        <a:ln>
          <a:noFill/>
        </a:ln>
        <a:effectLst>
          <a:softEdge rad="112500"/>
        </a:effectLst>
      </xdr:spPr>
    </xdr:pic>
    <xdr:clientData/>
  </xdr:twoCellAnchor>
  <xdr:twoCellAnchor editAs="oneCell">
    <xdr:from>
      <xdr:col>15</xdr:col>
      <xdr:colOff>514349</xdr:colOff>
      <xdr:row>4</xdr:row>
      <xdr:rowOff>28575</xdr:rowOff>
    </xdr:from>
    <xdr:to>
      <xdr:col>17</xdr:col>
      <xdr:colOff>69054</xdr:colOff>
      <xdr:row>8</xdr:row>
      <xdr:rowOff>109536</xdr:rowOff>
    </xdr:to>
    <xdr:pic>
      <xdr:nvPicPr>
        <xdr:cNvPr id="28" name="Picture 27">
          <a:extLst>
            <a:ext uri="{FF2B5EF4-FFF2-40B4-BE49-F238E27FC236}">
              <a16:creationId xmlns:a16="http://schemas.microsoft.com/office/drawing/2014/main" id="{47F97E25-4311-4ACA-BFAA-0574F9C15015}"/>
            </a:ext>
          </a:extLst>
        </xdr:cNvPr>
        <xdr:cNvPicPr>
          <a:picLocks noChangeAspect="1"/>
        </xdr:cNvPicPr>
      </xdr:nvPicPr>
      <xdr:blipFill>
        <a:blip xmlns:r="http://schemas.openxmlformats.org/officeDocument/2006/relationships" r:embed="rId9" cstate="print">
          <a:duotone>
            <a:schemeClr val="accent5">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9658349" y="790575"/>
          <a:ext cx="773905" cy="842961"/>
        </a:xfrm>
        <a:prstGeom prst="ellipse">
          <a:avLst/>
        </a:prstGeom>
        <a:ln>
          <a:solidFill>
            <a:schemeClr val="accent1">
              <a:lumMod val="40000"/>
              <a:lumOff val="60000"/>
            </a:schemeClr>
          </a:solidFill>
        </a:ln>
        <a:effectLst>
          <a:softEdge rad="112500"/>
        </a:effectLst>
      </xdr:spPr>
    </xdr:pic>
    <xdr:clientData/>
  </xdr:twoCellAnchor>
  <xdr:twoCellAnchor>
    <xdr:from>
      <xdr:col>2</xdr:col>
      <xdr:colOff>190500</xdr:colOff>
      <xdr:row>9</xdr:row>
      <xdr:rowOff>85725</xdr:rowOff>
    </xdr:from>
    <xdr:to>
      <xdr:col>8</xdr:col>
      <xdr:colOff>419100</xdr:colOff>
      <xdr:row>18</xdr:row>
      <xdr:rowOff>142875</xdr:rowOff>
    </xdr:to>
    <xdr:graphicFrame macro="">
      <xdr:nvGraphicFramePr>
        <xdr:cNvPr id="29" name="RegionSale">
          <a:extLst>
            <a:ext uri="{FF2B5EF4-FFF2-40B4-BE49-F238E27FC236}">
              <a16:creationId xmlns:a16="http://schemas.microsoft.com/office/drawing/2014/main" id="{4F7FC855-6146-4C01-B68F-1CB80BE35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190500</xdr:colOff>
      <xdr:row>18</xdr:row>
      <xdr:rowOff>180975</xdr:rowOff>
    </xdr:from>
    <xdr:to>
      <xdr:col>8</xdr:col>
      <xdr:colOff>400050</xdr:colOff>
      <xdr:row>26</xdr:row>
      <xdr:rowOff>133350</xdr:rowOff>
    </xdr:to>
    <xdr:graphicFrame macro="">
      <xdr:nvGraphicFramePr>
        <xdr:cNvPr id="30" name="Chart 29">
          <a:extLst>
            <a:ext uri="{FF2B5EF4-FFF2-40B4-BE49-F238E27FC236}">
              <a16:creationId xmlns:a16="http://schemas.microsoft.com/office/drawing/2014/main" id="{BC51781E-BEDF-4428-8018-53D811C42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323850</xdr:colOff>
      <xdr:row>9</xdr:row>
      <xdr:rowOff>76201</xdr:rowOff>
    </xdr:from>
    <xdr:to>
      <xdr:col>20</xdr:col>
      <xdr:colOff>28575</xdr:colOff>
      <xdr:row>18</xdr:row>
      <xdr:rowOff>76200</xdr:rowOff>
    </xdr:to>
    <xdr:graphicFrame macro="">
      <xdr:nvGraphicFramePr>
        <xdr:cNvPr id="32" name="Chart 31">
          <a:extLst>
            <a:ext uri="{FF2B5EF4-FFF2-40B4-BE49-F238E27FC236}">
              <a16:creationId xmlns:a16="http://schemas.microsoft.com/office/drawing/2014/main" id="{5EFE0042-8954-444E-BE5B-191897D53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495300</xdr:colOff>
      <xdr:row>9</xdr:row>
      <xdr:rowOff>57150</xdr:rowOff>
    </xdr:from>
    <xdr:to>
      <xdr:col>14</xdr:col>
      <xdr:colOff>257175</xdr:colOff>
      <xdr:row>18</xdr:row>
      <xdr:rowOff>123825</xdr:rowOff>
    </xdr:to>
    <xdr:graphicFrame macro="">
      <xdr:nvGraphicFramePr>
        <xdr:cNvPr id="33" name="Chart 32">
          <a:extLst>
            <a:ext uri="{FF2B5EF4-FFF2-40B4-BE49-F238E27FC236}">
              <a16:creationId xmlns:a16="http://schemas.microsoft.com/office/drawing/2014/main" id="{00713DAC-DCA4-491F-B7FB-468884047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495301</xdr:colOff>
      <xdr:row>19</xdr:row>
      <xdr:rowOff>9525</xdr:rowOff>
    </xdr:from>
    <xdr:to>
      <xdr:col>14</xdr:col>
      <xdr:colOff>209551</xdr:colOff>
      <xdr:row>26</xdr:row>
      <xdr:rowOff>95250</xdr:rowOff>
    </xdr:to>
    <xdr:graphicFrame macro="">
      <xdr:nvGraphicFramePr>
        <xdr:cNvPr id="35" name="Chart 34">
          <a:extLst>
            <a:ext uri="{FF2B5EF4-FFF2-40B4-BE49-F238E27FC236}">
              <a16:creationId xmlns:a16="http://schemas.microsoft.com/office/drawing/2014/main" id="{0C8C9309-3EE6-4267-B86F-9D5F5FB89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371476</xdr:colOff>
      <xdr:row>18</xdr:row>
      <xdr:rowOff>133350</xdr:rowOff>
    </xdr:from>
    <xdr:to>
      <xdr:col>20</xdr:col>
      <xdr:colOff>9526</xdr:colOff>
      <xdr:row>26</xdr:row>
      <xdr:rowOff>142875</xdr:rowOff>
    </xdr:to>
    <mc:AlternateContent xmlns:mc="http://schemas.openxmlformats.org/markup-compatibility/2006" xmlns:a14="http://schemas.microsoft.com/office/drawing/2010/main">
      <mc:Choice Requires="a14">
        <xdr:graphicFrame macro="">
          <xdr:nvGraphicFramePr>
            <xdr:cNvPr id="36" name="Product 1">
              <a:extLst>
                <a:ext uri="{FF2B5EF4-FFF2-40B4-BE49-F238E27FC236}">
                  <a16:creationId xmlns:a16="http://schemas.microsoft.com/office/drawing/2014/main" id="{C5465622-0722-4DAD-92CB-B4AA3C5CAFF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905876" y="3562350"/>
              <a:ext cx="329565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0</xdr:row>
      <xdr:rowOff>47626</xdr:rowOff>
    </xdr:from>
    <xdr:to>
      <xdr:col>20</xdr:col>
      <xdr:colOff>0</xdr:colOff>
      <xdr:row>3</xdr:row>
      <xdr:rowOff>123826</xdr:rowOff>
    </xdr:to>
    <xdr:sp macro="" textlink="">
      <xdr:nvSpPr>
        <xdr:cNvPr id="42" name="TextBox 41">
          <a:extLst>
            <a:ext uri="{FF2B5EF4-FFF2-40B4-BE49-F238E27FC236}">
              <a16:creationId xmlns:a16="http://schemas.microsoft.com/office/drawing/2014/main" id="{D213AB80-F46F-9A66-E119-29376D63EBBB}"/>
            </a:ext>
          </a:extLst>
        </xdr:cNvPr>
        <xdr:cNvSpPr txBox="1"/>
      </xdr:nvSpPr>
      <xdr:spPr>
        <a:xfrm>
          <a:off x="1371600" y="47626"/>
          <a:ext cx="10820400" cy="647700"/>
        </a:xfrm>
        <a:prstGeom prst="rect">
          <a:avLst/>
        </a:prstGeom>
        <a:gradFill>
          <a:gsLst>
            <a:gs pos="0">
              <a:schemeClr val="accent5">
                <a:lumMod val="40000"/>
                <a:lumOff val="60000"/>
              </a:schemeClr>
            </a:gs>
            <a:gs pos="74000">
              <a:schemeClr val="accent5">
                <a:lumMod val="20000"/>
                <a:lumOff val="80000"/>
              </a:schemeClr>
            </a:gs>
            <a:gs pos="42000">
              <a:schemeClr val="bg1">
                <a:lumMod val="95000"/>
              </a:schemeClr>
            </a:gs>
            <a:gs pos="100000">
              <a:srgbClr val="9E2DB5"/>
            </a:gs>
          </a:gsLst>
          <a:lin ang="2700000" scaled="1"/>
        </a:gra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5">
                  <a:lumMod val="75000"/>
                </a:schemeClr>
              </a:solidFill>
            </a:rPr>
            <a:t>SALES</a:t>
          </a:r>
          <a:r>
            <a:rPr lang="en-US" sz="3600" b="1" baseline="0">
              <a:solidFill>
                <a:schemeClr val="accent5">
                  <a:lumMod val="75000"/>
                </a:schemeClr>
              </a:solidFill>
            </a:rPr>
            <a:t> PERFORMANCE DASHBOARD</a:t>
          </a:r>
          <a:endParaRPr lang="en-US" sz="3600" b="1">
            <a:solidFill>
              <a:schemeClr val="accent5">
                <a:lumMod val="75000"/>
              </a:schemeClr>
            </a:solidFill>
          </a:endParaRPr>
        </a:p>
      </xdr:txBody>
    </xdr:sp>
    <xdr:clientData/>
  </xdr:twoCellAnchor>
  <xdr:twoCellAnchor editAs="oneCell">
    <xdr:from>
      <xdr:col>2</xdr:col>
      <xdr:colOff>152400</xdr:colOff>
      <xdr:row>0</xdr:row>
      <xdr:rowOff>47626</xdr:rowOff>
    </xdr:from>
    <xdr:to>
      <xdr:col>3</xdr:col>
      <xdr:colOff>359503</xdr:colOff>
      <xdr:row>3</xdr:row>
      <xdr:rowOff>105399</xdr:rowOff>
    </xdr:to>
    <xdr:pic>
      <xdr:nvPicPr>
        <xdr:cNvPr id="43" name="Picture 42">
          <a:extLst>
            <a:ext uri="{FF2B5EF4-FFF2-40B4-BE49-F238E27FC236}">
              <a16:creationId xmlns:a16="http://schemas.microsoft.com/office/drawing/2014/main" id="{222EA629-4F59-4340-A673-9D47A6DB4B21}"/>
            </a:ext>
          </a:extLst>
        </xdr:cNvPr>
        <xdr:cNvPicPr>
          <a:picLocks noChangeAspect="1"/>
        </xdr:cNvPicPr>
      </xdr:nvPicPr>
      <xdr:blipFill>
        <a:blip xmlns:r="http://schemas.openxmlformats.org/officeDocument/2006/relationships" r:embed="rId16" cstate="print">
          <a:duotone>
            <a:schemeClr val="accent5">
              <a:shade val="45000"/>
              <a:satMod val="135000"/>
            </a:schemeClr>
            <a:prstClr val="white"/>
          </a:duotone>
          <a:extLst>
            <a:ext uri="{BEBA8EAE-BF5A-486C-A8C5-ECC9F3942E4B}">
              <a14:imgProps xmlns:a14="http://schemas.microsoft.com/office/drawing/2010/main">
                <a14:imgLayer r:embed="rId17">
                  <a14:imgEffect>
                    <a14:saturation sat="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1371600" y="47626"/>
          <a:ext cx="816703" cy="629273"/>
        </a:xfrm>
        <a:prstGeom prst="rect">
          <a:avLst/>
        </a:prstGeom>
      </xdr:spPr>
    </xdr:pic>
    <xdr:clientData/>
  </xdr:twoCellAnchor>
  <xdr:twoCellAnchor>
    <xdr:from>
      <xdr:col>3</xdr:col>
      <xdr:colOff>504823</xdr:colOff>
      <xdr:row>4</xdr:row>
      <xdr:rowOff>57150</xdr:rowOff>
    </xdr:from>
    <xdr:to>
      <xdr:col>5</xdr:col>
      <xdr:colOff>392904</xdr:colOff>
      <xdr:row>6</xdr:row>
      <xdr:rowOff>33337</xdr:rowOff>
    </xdr:to>
    <xdr:sp macro="" textlink="">
      <xdr:nvSpPr>
        <xdr:cNvPr id="46" name="TextBox 45">
          <a:extLst>
            <a:ext uri="{FF2B5EF4-FFF2-40B4-BE49-F238E27FC236}">
              <a16:creationId xmlns:a16="http://schemas.microsoft.com/office/drawing/2014/main" id="{29995224-6BA9-41FE-9062-A8CE78CB3123}"/>
            </a:ext>
          </a:extLst>
        </xdr:cNvPr>
        <xdr:cNvSpPr txBox="1"/>
      </xdr:nvSpPr>
      <xdr:spPr>
        <a:xfrm>
          <a:off x="2333623" y="819150"/>
          <a:ext cx="1107281" cy="357187"/>
        </a:xfrm>
        <a:prstGeom prst="rect">
          <a:avLst/>
        </a:prstGeom>
        <a:solidFill>
          <a:schemeClr val="accent5">
            <a:lumMod val="40000"/>
            <a:lumOff val="60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Sales</a:t>
          </a:r>
        </a:p>
      </xdr:txBody>
    </xdr:sp>
    <xdr:clientData/>
  </xdr:twoCellAnchor>
  <xdr:twoCellAnchor>
    <xdr:from>
      <xdr:col>3</xdr:col>
      <xdr:colOff>514348</xdr:colOff>
      <xdr:row>6</xdr:row>
      <xdr:rowOff>114300</xdr:rowOff>
    </xdr:from>
    <xdr:to>
      <xdr:col>5</xdr:col>
      <xdr:colOff>378616</xdr:colOff>
      <xdr:row>8</xdr:row>
      <xdr:rowOff>19049</xdr:rowOff>
    </xdr:to>
    <xdr:sp macro="" textlink="PivotTableSectionG!A10">
      <xdr:nvSpPr>
        <xdr:cNvPr id="47" name="TextBox 46">
          <a:extLst>
            <a:ext uri="{FF2B5EF4-FFF2-40B4-BE49-F238E27FC236}">
              <a16:creationId xmlns:a16="http://schemas.microsoft.com/office/drawing/2014/main" id="{64B87E59-50E3-44A7-A22D-BB07B8177EE5}"/>
            </a:ext>
          </a:extLst>
        </xdr:cNvPr>
        <xdr:cNvSpPr txBox="1"/>
      </xdr:nvSpPr>
      <xdr:spPr>
        <a:xfrm>
          <a:off x="2343148" y="1257300"/>
          <a:ext cx="1083468" cy="285749"/>
        </a:xfrm>
        <a:prstGeom prst="rect">
          <a:avLst/>
        </a:prstGeom>
        <a:gradFill>
          <a:gsLst>
            <a:gs pos="0">
              <a:srgbClr val="9E2DB5"/>
            </a:gs>
            <a:gs pos="74000">
              <a:schemeClr val="accent5">
                <a:lumMod val="20000"/>
                <a:lumOff val="80000"/>
              </a:schemeClr>
            </a:gs>
            <a:gs pos="42000">
              <a:schemeClr val="bg1">
                <a:lumMod val="95000"/>
              </a:schemeClr>
            </a:gs>
            <a:gs pos="100000">
              <a:srgbClr val="9E2DB5"/>
            </a:gs>
          </a:gsLst>
          <a:lin ang="2700000" scaled="1"/>
        </a:gra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2A6937-589D-44BC-A1D6-704EFEAB605F}"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pPr/>
            <a:t>$32,35,200.00 </a:t>
          </a:fld>
          <a:endParaRPr lang="en-US" sz="1400" b="0" cap="none" spc="0">
            <a:ln w="0"/>
            <a:solidFill>
              <a:schemeClr val="tx2">
                <a:lumMod val="10000"/>
                <a:lumOff val="90000"/>
              </a:schemeClr>
            </a:solidFill>
            <a:effectLst>
              <a:outerShdw blurRad="38100" dist="25400" dir="5400000" algn="ctr" rotWithShape="0">
                <a:srgbClr val="6E747A">
                  <a:alpha val="43000"/>
                </a:srgbClr>
              </a:outerShdw>
            </a:effectLst>
          </a:endParaRPr>
        </a:p>
      </xdr:txBody>
    </xdr:sp>
    <xdr:clientData/>
  </xdr:twoCellAnchor>
  <xdr:twoCellAnchor>
    <xdr:from>
      <xdr:col>8</xdr:col>
      <xdr:colOff>447675</xdr:colOff>
      <xdr:row>4</xdr:row>
      <xdr:rowOff>133350</xdr:rowOff>
    </xdr:from>
    <xdr:to>
      <xdr:col>10</xdr:col>
      <xdr:colOff>335756</xdr:colOff>
      <xdr:row>6</xdr:row>
      <xdr:rowOff>109537</xdr:rowOff>
    </xdr:to>
    <xdr:sp macro="" textlink="">
      <xdr:nvSpPr>
        <xdr:cNvPr id="64" name="TextBox 63">
          <a:extLst>
            <a:ext uri="{FF2B5EF4-FFF2-40B4-BE49-F238E27FC236}">
              <a16:creationId xmlns:a16="http://schemas.microsoft.com/office/drawing/2014/main" id="{6EE4F7C6-C2F3-4FDD-AC9A-B7BE1E6AA819}"/>
            </a:ext>
          </a:extLst>
        </xdr:cNvPr>
        <xdr:cNvSpPr txBox="1"/>
      </xdr:nvSpPr>
      <xdr:spPr>
        <a:xfrm>
          <a:off x="5324475" y="895350"/>
          <a:ext cx="1107281" cy="357187"/>
        </a:xfrm>
        <a:prstGeom prst="rect">
          <a:avLst/>
        </a:prstGeom>
        <a:solidFill>
          <a:schemeClr val="accent5">
            <a:lumMod val="40000"/>
            <a:lumOff val="60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Profit</a:t>
          </a:r>
        </a:p>
      </xdr:txBody>
    </xdr:sp>
    <xdr:clientData/>
  </xdr:twoCellAnchor>
  <xdr:twoCellAnchor>
    <xdr:from>
      <xdr:col>8</xdr:col>
      <xdr:colOff>457200</xdr:colOff>
      <xdr:row>7</xdr:row>
      <xdr:rowOff>19050</xdr:rowOff>
    </xdr:from>
    <xdr:to>
      <xdr:col>10</xdr:col>
      <xdr:colOff>321468</xdr:colOff>
      <xdr:row>8</xdr:row>
      <xdr:rowOff>114299</xdr:rowOff>
    </xdr:to>
    <xdr:sp macro="" textlink="PivotTableSectionG!A11">
      <xdr:nvSpPr>
        <xdr:cNvPr id="65" name="TextBox 64">
          <a:extLst>
            <a:ext uri="{FF2B5EF4-FFF2-40B4-BE49-F238E27FC236}">
              <a16:creationId xmlns:a16="http://schemas.microsoft.com/office/drawing/2014/main" id="{12028DBF-224D-4C5B-9D6E-5F39503D3C3E}"/>
            </a:ext>
          </a:extLst>
        </xdr:cNvPr>
        <xdr:cNvSpPr txBox="1"/>
      </xdr:nvSpPr>
      <xdr:spPr>
        <a:xfrm>
          <a:off x="5334000" y="1352550"/>
          <a:ext cx="1083468" cy="285749"/>
        </a:xfrm>
        <a:prstGeom prst="rect">
          <a:avLst/>
        </a:prstGeom>
        <a:gradFill flip="none" rotWithShape="1">
          <a:gsLst>
            <a:gs pos="0">
              <a:schemeClr val="accent5">
                <a:lumMod val="20000"/>
                <a:lumOff val="80000"/>
              </a:schemeClr>
            </a:gs>
            <a:gs pos="62000">
              <a:schemeClr val="bg1">
                <a:lumMod val="95000"/>
              </a:schemeClr>
            </a:gs>
            <a:gs pos="58700">
              <a:schemeClr val="bg1"/>
            </a:gs>
            <a:gs pos="100000">
              <a:srgbClr val="9E2DB5"/>
            </a:gs>
          </a:gsLst>
          <a:path path="circle">
            <a:fillToRect l="100000" t="100000"/>
          </a:path>
          <a:tileRect r="-100000" b="-100000"/>
        </a:gra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4F24A2-164B-4E32-A558-5103801C79F8}"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pPr/>
            <a:t>$7,88,066.00 </a:t>
          </a:fld>
          <a:endParaRPr lang="en-US" sz="1400" b="0" cap="none" spc="0">
            <a:ln w="0"/>
            <a:solidFill>
              <a:schemeClr val="tx2">
                <a:lumMod val="10000"/>
                <a:lumOff val="90000"/>
              </a:schemeClr>
            </a:solidFill>
            <a:effectLst>
              <a:outerShdw blurRad="38100" dist="25400" dir="5400000" algn="ctr" rotWithShape="0">
                <a:srgbClr val="6E747A">
                  <a:alpha val="43000"/>
                </a:srgbClr>
              </a:outerShdw>
            </a:effectLst>
          </a:endParaRPr>
        </a:p>
      </xdr:txBody>
    </xdr:sp>
    <xdr:clientData/>
  </xdr:twoCellAnchor>
  <xdr:twoCellAnchor>
    <xdr:from>
      <xdr:col>13</xdr:col>
      <xdr:colOff>247650</xdr:colOff>
      <xdr:row>4</xdr:row>
      <xdr:rowOff>123825</xdr:rowOff>
    </xdr:from>
    <xdr:to>
      <xdr:col>15</xdr:col>
      <xdr:colOff>135731</xdr:colOff>
      <xdr:row>6</xdr:row>
      <xdr:rowOff>88106</xdr:rowOff>
    </xdr:to>
    <xdr:sp macro="" textlink="">
      <xdr:nvSpPr>
        <xdr:cNvPr id="67" name="TextBox 66">
          <a:extLst>
            <a:ext uri="{FF2B5EF4-FFF2-40B4-BE49-F238E27FC236}">
              <a16:creationId xmlns:a16="http://schemas.microsoft.com/office/drawing/2014/main" id="{6428AF0C-F8DF-4F11-9A53-A6AFEA33122A}"/>
            </a:ext>
          </a:extLst>
        </xdr:cNvPr>
        <xdr:cNvSpPr txBox="1"/>
      </xdr:nvSpPr>
      <xdr:spPr>
        <a:xfrm>
          <a:off x="8172450" y="885825"/>
          <a:ext cx="1107281" cy="345281"/>
        </a:xfrm>
        <a:prstGeom prst="rect">
          <a:avLst/>
        </a:prstGeom>
        <a:solidFill>
          <a:schemeClr val="accent5">
            <a:lumMod val="40000"/>
            <a:lumOff val="60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Total Sale</a:t>
          </a:r>
        </a:p>
      </xdr:txBody>
    </xdr:sp>
    <xdr:clientData/>
  </xdr:twoCellAnchor>
  <xdr:twoCellAnchor>
    <xdr:from>
      <xdr:col>17</xdr:col>
      <xdr:colOff>133350</xdr:colOff>
      <xdr:row>4</xdr:row>
      <xdr:rowOff>76200</xdr:rowOff>
    </xdr:from>
    <xdr:to>
      <xdr:col>19</xdr:col>
      <xdr:colOff>545307</xdr:colOff>
      <xdr:row>6</xdr:row>
      <xdr:rowOff>40481</xdr:rowOff>
    </xdr:to>
    <xdr:sp macro="" textlink="">
      <xdr:nvSpPr>
        <xdr:cNvPr id="69" name="TextBox 68">
          <a:extLst>
            <a:ext uri="{FF2B5EF4-FFF2-40B4-BE49-F238E27FC236}">
              <a16:creationId xmlns:a16="http://schemas.microsoft.com/office/drawing/2014/main" id="{34CAD715-D2BD-491F-8B83-B0AC8203906F}"/>
            </a:ext>
          </a:extLst>
        </xdr:cNvPr>
        <xdr:cNvSpPr txBox="1"/>
      </xdr:nvSpPr>
      <xdr:spPr>
        <a:xfrm>
          <a:off x="10496550" y="838200"/>
          <a:ext cx="1631157" cy="345281"/>
        </a:xfrm>
        <a:prstGeom prst="rect">
          <a:avLst/>
        </a:prstGeom>
        <a:solidFill>
          <a:schemeClr val="accent5">
            <a:lumMod val="40000"/>
            <a:lumOff val="60000"/>
          </a:schemeClr>
        </a:soli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chemeClr val="tx1"/>
              </a:solidFill>
              <a:effectLst>
                <a:outerShdw blurRad="38100" dist="19050" dir="2700000" algn="tl" rotWithShape="0">
                  <a:schemeClr val="dk1">
                    <a:alpha val="40000"/>
                  </a:schemeClr>
                </a:outerShdw>
              </a:effectLst>
            </a:rPr>
            <a:t>Best Sales Person</a:t>
          </a:r>
        </a:p>
      </xdr:txBody>
    </xdr:sp>
    <xdr:clientData/>
  </xdr:twoCellAnchor>
  <xdr:twoCellAnchor>
    <xdr:from>
      <xdr:col>13</xdr:col>
      <xdr:colOff>247650</xdr:colOff>
      <xdr:row>6</xdr:row>
      <xdr:rowOff>161925</xdr:rowOff>
    </xdr:from>
    <xdr:to>
      <xdr:col>15</xdr:col>
      <xdr:colOff>135731</xdr:colOff>
      <xdr:row>8</xdr:row>
      <xdr:rowOff>57150</xdr:rowOff>
    </xdr:to>
    <xdr:sp macro="" textlink="PivotTableSectionG!F42">
      <xdr:nvSpPr>
        <xdr:cNvPr id="70" name="TextBox 69">
          <a:extLst>
            <a:ext uri="{FF2B5EF4-FFF2-40B4-BE49-F238E27FC236}">
              <a16:creationId xmlns:a16="http://schemas.microsoft.com/office/drawing/2014/main" id="{51E99F42-9893-4422-BB08-2D6058317F5D}"/>
            </a:ext>
          </a:extLst>
        </xdr:cNvPr>
        <xdr:cNvSpPr txBox="1"/>
      </xdr:nvSpPr>
      <xdr:spPr>
        <a:xfrm>
          <a:off x="8172450" y="1304925"/>
          <a:ext cx="1107281" cy="276225"/>
        </a:xfrm>
        <a:prstGeom prst="rect">
          <a:avLst/>
        </a:prstGeom>
        <a:gradFill flip="none" rotWithShape="1">
          <a:gsLst>
            <a:gs pos="0">
              <a:schemeClr val="accent5">
                <a:lumMod val="20000"/>
                <a:lumOff val="80000"/>
              </a:schemeClr>
            </a:gs>
            <a:gs pos="0">
              <a:schemeClr val="accent5">
                <a:lumMod val="0"/>
                <a:lumOff val="100000"/>
              </a:schemeClr>
            </a:gs>
            <a:gs pos="100000">
              <a:schemeClr val="accent5">
                <a:lumMod val="100000"/>
              </a:schemeClr>
            </a:gs>
          </a:gsLst>
          <a:path path="circle">
            <a:fillToRect l="100000" b="100000"/>
          </a:path>
          <a:tileRect t="-100000" r="-100000"/>
        </a:grad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76DD5-C672-40C9-A508-2585B7F7E3E6}" type="TxLink">
            <a:rPr lang="en-US" sz="1100" b="0" i="0" u="none" strike="noStrike">
              <a:solidFill>
                <a:srgbClr val="000000"/>
              </a:solidFill>
              <a:latin typeface="Aptos Narrow"/>
            </a:rPr>
            <a:pPr/>
            <a:t>200</a:t>
          </a:fld>
          <a:endParaRPr lang="en-US" sz="1100"/>
        </a:p>
      </xdr:txBody>
    </xdr:sp>
    <xdr:clientData/>
  </xdr:twoCellAnchor>
  <xdr:twoCellAnchor>
    <xdr:from>
      <xdr:col>17</xdr:col>
      <xdr:colOff>361950</xdr:colOff>
      <xdr:row>6</xdr:row>
      <xdr:rowOff>104775</xdr:rowOff>
    </xdr:from>
    <xdr:to>
      <xdr:col>19</xdr:col>
      <xdr:colOff>226218</xdr:colOff>
      <xdr:row>8</xdr:row>
      <xdr:rowOff>9524</xdr:rowOff>
    </xdr:to>
    <xdr:sp macro="" textlink="PivotTableSectionG!B49">
      <xdr:nvSpPr>
        <xdr:cNvPr id="71" name="TextBox 70">
          <a:extLst>
            <a:ext uri="{FF2B5EF4-FFF2-40B4-BE49-F238E27FC236}">
              <a16:creationId xmlns:a16="http://schemas.microsoft.com/office/drawing/2014/main" id="{2E770861-667C-4CA2-9D53-54F42874ABA4}"/>
            </a:ext>
          </a:extLst>
        </xdr:cNvPr>
        <xdr:cNvSpPr txBox="1"/>
      </xdr:nvSpPr>
      <xdr:spPr>
        <a:xfrm>
          <a:off x="10725150" y="1247775"/>
          <a:ext cx="1083468" cy="285749"/>
        </a:xfrm>
        <a:prstGeom prst="rect">
          <a:avLst/>
        </a:prstGeom>
        <a:gradFill flip="none" rotWithShape="1">
          <a:gsLst>
            <a:gs pos="0">
              <a:schemeClr val="accent5">
                <a:lumMod val="20000"/>
                <a:lumOff val="80000"/>
              </a:schemeClr>
            </a:gs>
            <a:gs pos="0">
              <a:schemeClr val="accent5">
                <a:lumMod val="0"/>
                <a:lumOff val="100000"/>
              </a:schemeClr>
            </a:gs>
            <a:gs pos="100000">
              <a:schemeClr val="accent5">
                <a:lumMod val="100000"/>
              </a:schemeClr>
            </a:gs>
          </a:gsLst>
          <a:lin ang="8100000" scaled="1"/>
          <a:tileRect/>
        </a:grad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FA4F9-FB31-481B-8610-AC94E0E5C8C4}" type="TxLink">
            <a:rPr lang="en-US" sz="1100" b="0" i="0" u="none" strike="noStrike" cap="none" spc="0">
              <a:ln w="0"/>
              <a:solidFill>
                <a:srgbClr val="000000"/>
              </a:solidFill>
              <a:effectLst>
                <a:outerShdw blurRad="38100" dist="25400" dir="5400000" algn="ctr" rotWithShape="0">
                  <a:srgbClr val="6E747A">
                    <a:alpha val="43000"/>
                  </a:srgbClr>
                </a:outerShdw>
              </a:effectLst>
              <a:latin typeface="Aptos Narrow"/>
            </a:rPr>
            <a:pPr/>
            <a:t>Aisha</a:t>
          </a:fld>
          <a:endParaRPr lang="en-US" sz="1400" b="0" cap="none" spc="0">
            <a:ln w="0"/>
            <a:solidFill>
              <a:schemeClr val="tx2">
                <a:lumMod val="10000"/>
                <a:lumOff val="90000"/>
              </a:schemeClr>
            </a:solidFill>
            <a:effectLst>
              <a:outerShdw blurRad="38100" dist="25400" dir="5400000" algn="ctr" rotWithShape="0">
                <a:srgbClr val="6E747A">
                  <a:alpha val="43000"/>
                </a:srgbClr>
              </a:outerShdw>
            </a:effectLst>
          </a:endParaRPr>
        </a:p>
      </xdr:txBody>
    </xdr:sp>
    <xdr:clientData/>
  </xdr:twoCellAnchor>
  <xdr:oneCellAnchor>
    <xdr:from>
      <xdr:col>15</xdr:col>
      <xdr:colOff>257175</xdr:colOff>
      <xdr:row>14</xdr:row>
      <xdr:rowOff>57150</xdr:rowOff>
    </xdr:from>
    <xdr:ext cx="184731" cy="264560"/>
    <xdr:sp macro="" textlink="">
      <xdr:nvSpPr>
        <xdr:cNvPr id="74" name="TextBox 73">
          <a:extLst>
            <a:ext uri="{FF2B5EF4-FFF2-40B4-BE49-F238E27FC236}">
              <a16:creationId xmlns:a16="http://schemas.microsoft.com/office/drawing/2014/main" id="{D06AF817-CFDD-0042-2495-D5E600DE8D74}"/>
            </a:ext>
          </a:extLst>
        </xdr:cNvPr>
        <xdr:cNvSpPr txBox="1"/>
      </xdr:nvSpPr>
      <xdr:spPr>
        <a:xfrm>
          <a:off x="9401175" y="2724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c:userShapes xmlns:c="http://schemas.openxmlformats.org/drawingml/2006/chart">
  <cdr:relSizeAnchor xmlns:cdr="http://schemas.openxmlformats.org/drawingml/2006/chartDrawing">
    <cdr:from>
      <cdr:x>0.72371</cdr:x>
      <cdr:y>0.18799</cdr:y>
    </cdr:from>
    <cdr:to>
      <cdr:x>0.98039</cdr:x>
      <cdr:y>0.76018</cdr:y>
    </cdr:to>
    <cdr:pic>
      <cdr:nvPicPr>
        <cdr:cNvPr id="3" name="Picture 2">
          <a:extLst xmlns:a="http://schemas.openxmlformats.org/drawingml/2006/main">
            <a:ext uri="{FF2B5EF4-FFF2-40B4-BE49-F238E27FC236}">
              <a16:creationId xmlns:a16="http://schemas.microsoft.com/office/drawing/2014/main" id="{350E61E2-907D-8B44-8E18-5895273C97A5}"/>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xmlns:a="http://schemas.openxmlformats.org/drawingml/2006/main" l="10112" t="18880" b="12684"/>
        <a:stretch xmlns:a="http://schemas.openxmlformats.org/drawingml/2006/main">
          <a:fillRect/>
        </a:stretch>
      </cdr:blipFill>
      <cdr:spPr>
        <a:xfrm xmlns:a="http://schemas.openxmlformats.org/drawingml/2006/main">
          <a:off x="2812473" y="408263"/>
          <a:ext cx="997527" cy="124261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8.366627546297" createdVersion="8" refreshedVersion="8" minRefreshableVersion="3" recordCount="4" xr:uid="{974A8AE0-EF01-482F-86C3-303EB53FB3AD}">
  <cacheSource type="worksheet">
    <worksheetSource name="Table4"/>
  </cacheSource>
  <cacheFields count="2">
    <cacheField name="Column1" numFmtId="0">
      <sharedItems count="4">
        <s v="• Total Sales"/>
        <s v="• Total Cost"/>
        <s v="• Total Profit"/>
        <s v="• Total Orders"/>
      </sharedItems>
    </cacheField>
    <cacheField name="Column2" numFmtId="0">
      <sharedItems containsSemiMixedTypes="0" containsString="0" containsNumber="1" containsInteger="1" minValue="200" maxValue="3235200" count="4">
        <n v="3235200"/>
        <n v="2447134"/>
        <n v="788066"/>
        <n v="200"/>
      </sharedItems>
    </cacheField>
  </cacheFields>
  <extLst>
    <ext xmlns:x14="http://schemas.microsoft.com/office/spreadsheetml/2009/9/main" uri="{725AE2AE-9491-48be-B2B4-4EB974FC3084}">
      <x14:pivotCacheDefinition pivotCacheId="19650617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8.538999884258" createdVersion="8" refreshedVersion="8" minRefreshableVersion="3" recordCount="5" xr:uid="{48F7133B-B3EA-43B0-B7B3-4A1D2825EBB4}">
  <cacheSource type="worksheet">
    <worksheetSource name="Table2"/>
  </cacheSource>
  <cacheFields count="3">
    <cacheField name="sales person" numFmtId="0">
      <sharedItems count="5">
        <s v="Aisha"/>
        <s v="Rahul"/>
        <s v="Nikhil"/>
        <s v="Sneha"/>
        <s v="Farhan"/>
      </sharedItems>
    </cacheField>
    <cacheField name="sales" numFmtId="0">
      <sharedItems containsSemiMixedTypes="0" containsString="0" containsNumber="1" containsInteger="1" minValue="509237" maxValue="750452"/>
    </cacheField>
    <cacheField name="Rank"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97773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8.68164490741" createdVersion="8" refreshedVersion="8" minRefreshableVersion="3" recordCount="200" xr:uid="{0C6608BC-85DB-4D66-9EC1-A6C943A1D322}">
  <cacheSource type="worksheet">
    <worksheetSource name="Table1"/>
  </cacheSource>
  <cacheFields count="16">
    <cacheField name="OrderID" numFmtId="0">
      <sharedItems containsSemiMixedTypes="0" containsString="0" containsNumber="1" containsInteger="1" minValue="1" maxValue="200"/>
    </cacheField>
    <cacheField name="OrderDate" numFmtId="14">
      <sharedItems containsSemiMixedTypes="0" containsNonDate="0" containsDate="1" containsString="0" minDate="2025-01-03T00:00:00" maxDate="2025-07-22T00:00:00" count="2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sharedItems>
      <fieldGroup par="15"/>
    </cacheField>
    <cacheField name="Region" numFmtId="0">
      <sharedItems containsBlank="1" count="5">
        <s v="West"/>
        <s v="North"/>
        <s v="South"/>
        <s v="East"/>
        <m u="1"/>
      </sharedItems>
    </cacheField>
    <cacheField name="Category" numFmtId="0">
      <sharedItems count="2">
        <s v="Furniture"/>
        <s v="Electronics"/>
      </sharedItems>
    </cacheField>
    <cacheField name="Product" numFmtId="0">
      <sharedItems containsBlank="1" count="9">
        <s v="Table"/>
        <s v="Desk"/>
        <s v="Mobile"/>
        <s v="Chair"/>
        <s v="Laptop"/>
        <s v="Headphones"/>
        <s v="Tablet"/>
        <s v="Cupboard"/>
        <m u="1"/>
      </sharedItems>
    </cacheField>
    <cacheField name="CustomerName" numFmtId="0">
      <sharedItems count="50">
        <s v="Customer_16"/>
        <s v="Customer_19"/>
        <s v="Customer_45"/>
        <s v="Customer_30"/>
        <s v="Customer_40"/>
        <s v="Customer_34"/>
        <s v="Customer_14"/>
        <s v="Customer_1"/>
        <s v="Customer_49"/>
        <s v="Customer_39"/>
        <s v="Customer_23"/>
        <s v="Customer_38"/>
        <s v="Customer_5"/>
        <s v="Customer_4"/>
        <s v="Customer_10"/>
        <s v="Customer_22"/>
        <s v="Customer_25"/>
        <s v="Customer_31"/>
        <s v="Customer_3"/>
        <s v="Customer_8"/>
        <s v="Customer_18"/>
        <s v="Customer_12"/>
        <s v="Customer_13"/>
        <s v="Customer_15"/>
        <s v="Customer_32"/>
        <s v="Customer_28"/>
        <s v="Customer_37"/>
        <s v="Customer_50"/>
        <s v="Customer_46"/>
        <s v="Customer_9"/>
        <s v="Customer_21"/>
        <s v="Customer_7"/>
        <s v="Customer_6"/>
        <s v="Customer_47"/>
        <s v="Customer_27"/>
        <s v="Customer_44"/>
        <s v="Customer_24"/>
        <s v="Customer_2"/>
        <s v="Customer_29"/>
        <s v="Customer_11"/>
        <s v="Customer_26"/>
        <s v="Customer_43"/>
        <s v="Customer_17"/>
        <s v="Customer_20"/>
        <s v="Customer_42"/>
        <s v="Customer_48"/>
        <s v="Customer_35"/>
        <s v="Customer_33"/>
        <s v="Customer_36"/>
        <s v="Customer_41"/>
      </sharedItems>
    </cacheField>
    <cacheField name="SalesPerson" numFmtId="0">
      <sharedItems containsBlank="1" count="8">
        <s v="Sneha"/>
        <s v="Farhan"/>
        <s v="Aisha"/>
        <s v="Rahul"/>
        <s v="Nikhil"/>
        <s v="Total" u="1"/>
        <m u="1"/>
        <s v="Total sales" u="1"/>
      </sharedItems>
    </cacheField>
    <cacheField name="Sales" numFmtId="0">
      <sharedItems containsSemiMixedTypes="0" containsString="0" containsNumber="1" containsInteger="1" minValue="3003" maxValue="29811"/>
    </cacheField>
    <cacheField name="Cost" numFmtId="0">
      <sharedItems containsSemiMixedTypes="0" containsString="0" containsNumber="1" containsInteger="1" minValue="2190" maxValue="25660"/>
    </cacheField>
    <cacheField name="Profit" numFmtId="0">
      <sharedItems containsSemiMixedTypes="0" containsString="0" containsNumber="1" containsInteger="1" minValue="447" maxValue="11149"/>
    </cacheField>
    <cacheField name="Profit %" numFmtId="9">
      <sharedItems containsSemiMixedTypes="0" containsString="0" containsNumber="1" minValue="0.10021740655024897" maxValue="0.39876709689847811"/>
    </cacheField>
    <cacheField name="        Performance                                                                                              " numFmtId="0">
      <sharedItems/>
    </cacheField>
    <cacheField name="commision" numFmtId="0">
      <sharedItems containsSemiMixedTypes="0" containsString="0" containsNumber="1" minValue="187.15" maxValue="2384.88"/>
    </cacheField>
    <cacheField name="Cumulative Sales" numFmtId="0">
      <sharedItems containsSemiMixedTypes="0" containsString="0" containsNumber="1" containsInteger="1" minValue="5811" maxValue="3235200"/>
    </cacheField>
    <cacheField name="Days (OrderDate)" numFmtId="0" databaseField="0">
      <fieldGroup base="1">
        <rangePr groupBy="days" startDate="2025-01-03T00:00:00" endDate="2025-07-22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2-07-2025"/>
        </groupItems>
      </fieldGroup>
    </cacheField>
    <cacheField name="Months (OrderDate)" numFmtId="0" databaseField="0">
      <fieldGroup base="1">
        <rangePr groupBy="months" startDate="2025-01-03T00:00:00" endDate="2025-07-22T00:00:00"/>
        <groupItems count="14">
          <s v="&lt;03-01-2025"/>
          <s v="Jan"/>
          <s v="Feb"/>
          <s v="Mar"/>
          <s v="Apr"/>
          <s v="May"/>
          <s v="Jun"/>
          <s v="Jul"/>
          <s v="Aug"/>
          <s v="Sep"/>
          <s v="Oct"/>
          <s v="Nov"/>
          <s v="Dec"/>
          <s v="&gt;22-07-2025"/>
        </groupItems>
      </fieldGroup>
    </cacheField>
  </cacheFields>
  <extLst>
    <ext xmlns:x14="http://schemas.microsoft.com/office/spreadsheetml/2009/9/main" uri="{725AE2AE-9491-48be-B2B4-4EB974FC3084}">
      <x14:pivotCacheDefinition pivotCacheId="1615103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50452"/>
    <n v="1"/>
  </r>
  <r>
    <x v="1"/>
    <n v="633574"/>
    <n v="4"/>
  </r>
  <r>
    <x v="2"/>
    <n v="648534"/>
    <n v="3"/>
  </r>
  <r>
    <x v="3"/>
    <n v="509237"/>
    <n v="5"/>
  </r>
  <r>
    <x v="4"/>
    <n v="693403"/>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x v="0"/>
    <x v="0"/>
    <x v="0"/>
    <x v="0"/>
    <n v="5811"/>
    <n v="5067"/>
    <n v="744"/>
    <n v="0.12803304078471864"/>
    <s v="Poor"/>
    <n v="464.88"/>
    <n v="5811"/>
  </r>
  <r>
    <n v="2"/>
    <x v="1"/>
    <x v="1"/>
    <x v="0"/>
    <x v="1"/>
    <x v="1"/>
    <x v="0"/>
    <n v="13553"/>
    <n v="8173"/>
    <n v="5380"/>
    <n v="0.39696008263853022"/>
    <s v="Good"/>
    <n v="1084.24"/>
    <n v="19364"/>
  </r>
  <r>
    <n v="3"/>
    <x v="2"/>
    <x v="2"/>
    <x v="1"/>
    <x v="2"/>
    <x v="2"/>
    <x v="0"/>
    <n v="7987"/>
    <n v="5653"/>
    <n v="2334"/>
    <n v="0.29222486540628523"/>
    <s v="Poor"/>
    <n v="399.35"/>
    <n v="27351"/>
  </r>
  <r>
    <n v="4"/>
    <x v="3"/>
    <x v="0"/>
    <x v="0"/>
    <x v="3"/>
    <x v="3"/>
    <x v="1"/>
    <n v="3254"/>
    <n v="2435"/>
    <n v="819"/>
    <n v="0.25169022741241548"/>
    <s v="Poor"/>
    <n v="260.32"/>
    <n v="30605"/>
  </r>
  <r>
    <n v="5"/>
    <x v="4"/>
    <x v="2"/>
    <x v="1"/>
    <x v="2"/>
    <x v="4"/>
    <x v="1"/>
    <n v="13732"/>
    <n v="11076"/>
    <n v="2656"/>
    <n v="0.19341683658607631"/>
    <s v="Poor"/>
    <n v="686.6"/>
    <n v="44337"/>
  </r>
  <r>
    <n v="6"/>
    <x v="5"/>
    <x v="2"/>
    <x v="0"/>
    <x v="0"/>
    <x v="5"/>
    <x v="0"/>
    <n v="17328"/>
    <n v="14130"/>
    <n v="3198"/>
    <n v="0.18455678670360109"/>
    <s v="Poor"/>
    <n v="1386.24"/>
    <n v="61665"/>
  </r>
  <r>
    <n v="7"/>
    <x v="6"/>
    <x v="1"/>
    <x v="1"/>
    <x v="4"/>
    <x v="6"/>
    <x v="2"/>
    <n v="16650"/>
    <n v="14634"/>
    <n v="2016"/>
    <n v="0.12108108108108108"/>
    <s v="Poor"/>
    <n v="832.5"/>
    <n v="78315"/>
  </r>
  <r>
    <n v="8"/>
    <x v="7"/>
    <x v="2"/>
    <x v="1"/>
    <x v="5"/>
    <x v="7"/>
    <x v="0"/>
    <n v="4964"/>
    <n v="3181"/>
    <n v="1783"/>
    <n v="0.35918614020950845"/>
    <s v="Poor"/>
    <n v="248.20000000000002"/>
    <n v="83279"/>
  </r>
  <r>
    <n v="9"/>
    <x v="8"/>
    <x v="1"/>
    <x v="0"/>
    <x v="0"/>
    <x v="8"/>
    <x v="1"/>
    <n v="19497"/>
    <n v="16208"/>
    <n v="3289"/>
    <n v="0.16869261937734009"/>
    <s v="Poor"/>
    <n v="1559.76"/>
    <n v="102776"/>
  </r>
  <r>
    <n v="10"/>
    <x v="9"/>
    <x v="2"/>
    <x v="1"/>
    <x v="6"/>
    <x v="5"/>
    <x v="3"/>
    <n v="29094"/>
    <n v="19174"/>
    <n v="9920"/>
    <n v="0.34096377259916133"/>
    <s v="Good"/>
    <n v="1454.7"/>
    <n v="131870"/>
  </r>
  <r>
    <n v="11"/>
    <x v="10"/>
    <x v="0"/>
    <x v="1"/>
    <x v="2"/>
    <x v="9"/>
    <x v="4"/>
    <n v="27904"/>
    <n v="24463"/>
    <n v="3441"/>
    <n v="0.12331565366972477"/>
    <s v="Poor"/>
    <n v="1395.2"/>
    <n v="159774"/>
  </r>
  <r>
    <n v="12"/>
    <x v="11"/>
    <x v="1"/>
    <x v="1"/>
    <x v="5"/>
    <x v="10"/>
    <x v="2"/>
    <n v="9233"/>
    <n v="6766"/>
    <n v="2467"/>
    <n v="0.26719376150763563"/>
    <s v="Poor"/>
    <n v="461.65000000000003"/>
    <n v="169007"/>
  </r>
  <r>
    <n v="13"/>
    <x v="12"/>
    <x v="3"/>
    <x v="0"/>
    <x v="1"/>
    <x v="11"/>
    <x v="0"/>
    <n v="27329"/>
    <n v="18038"/>
    <n v="9291"/>
    <n v="0.33996853159647261"/>
    <s v="Good"/>
    <n v="2186.3200000000002"/>
    <n v="196336"/>
  </r>
  <r>
    <n v="14"/>
    <x v="13"/>
    <x v="0"/>
    <x v="0"/>
    <x v="1"/>
    <x v="12"/>
    <x v="3"/>
    <n v="6994"/>
    <n v="5062"/>
    <n v="1932"/>
    <n v="0.27623677437803834"/>
    <s v="Poor"/>
    <n v="559.52"/>
    <n v="203330"/>
  </r>
  <r>
    <n v="15"/>
    <x v="14"/>
    <x v="3"/>
    <x v="0"/>
    <x v="0"/>
    <x v="13"/>
    <x v="0"/>
    <n v="6822"/>
    <n v="5407"/>
    <n v="1415"/>
    <n v="0.20741717971269422"/>
    <s v="Poor"/>
    <n v="545.76"/>
    <n v="210152"/>
  </r>
  <r>
    <n v="16"/>
    <x v="15"/>
    <x v="3"/>
    <x v="1"/>
    <x v="5"/>
    <x v="9"/>
    <x v="1"/>
    <n v="14681"/>
    <n v="11778"/>
    <n v="2903"/>
    <n v="0.19773857366664396"/>
    <s v="Poor"/>
    <n v="734.05000000000007"/>
    <n v="224833"/>
  </r>
  <r>
    <n v="17"/>
    <x v="16"/>
    <x v="0"/>
    <x v="1"/>
    <x v="4"/>
    <x v="14"/>
    <x v="2"/>
    <n v="21800"/>
    <n v="16672"/>
    <n v="5128"/>
    <n v="0.23522935779816515"/>
    <s v="Good"/>
    <n v="1090"/>
    <n v="246633"/>
  </r>
  <r>
    <n v="18"/>
    <x v="17"/>
    <x v="3"/>
    <x v="1"/>
    <x v="5"/>
    <x v="10"/>
    <x v="4"/>
    <n v="27543"/>
    <n v="21241"/>
    <n v="6302"/>
    <n v="0.22880586718948553"/>
    <s v="Good"/>
    <n v="1377.15"/>
    <n v="274176"/>
  </r>
  <r>
    <n v="19"/>
    <x v="18"/>
    <x v="2"/>
    <x v="0"/>
    <x v="7"/>
    <x v="2"/>
    <x v="2"/>
    <n v="8177"/>
    <n v="6277"/>
    <n v="1900"/>
    <n v="0.23235905588846764"/>
    <s v="Poor"/>
    <n v="654.16"/>
    <n v="282353"/>
  </r>
  <r>
    <n v="20"/>
    <x v="19"/>
    <x v="1"/>
    <x v="1"/>
    <x v="6"/>
    <x v="15"/>
    <x v="3"/>
    <n v="17261"/>
    <n v="14516"/>
    <n v="2745"/>
    <n v="0.15902902496958463"/>
    <s v="Poor"/>
    <n v="863.05000000000007"/>
    <n v="299614"/>
  </r>
  <r>
    <n v="21"/>
    <x v="20"/>
    <x v="3"/>
    <x v="1"/>
    <x v="4"/>
    <x v="16"/>
    <x v="2"/>
    <n v="13080"/>
    <n v="11394"/>
    <n v="1686"/>
    <n v="0.12889908256880733"/>
    <s v="Poor"/>
    <n v="654"/>
    <n v="312694"/>
  </r>
  <r>
    <n v="22"/>
    <x v="21"/>
    <x v="0"/>
    <x v="0"/>
    <x v="1"/>
    <x v="17"/>
    <x v="3"/>
    <n v="12676"/>
    <n v="8182"/>
    <n v="4494"/>
    <n v="0.35452824234774377"/>
    <s v="Poor"/>
    <n v="1014.08"/>
    <n v="325370"/>
  </r>
  <r>
    <n v="23"/>
    <x v="22"/>
    <x v="0"/>
    <x v="0"/>
    <x v="3"/>
    <x v="17"/>
    <x v="0"/>
    <n v="12995"/>
    <n v="10838"/>
    <n v="2157"/>
    <n v="0.16598691804540208"/>
    <s v="Poor"/>
    <n v="1039.5999999999999"/>
    <n v="338365"/>
  </r>
  <r>
    <n v="24"/>
    <x v="23"/>
    <x v="2"/>
    <x v="0"/>
    <x v="1"/>
    <x v="18"/>
    <x v="3"/>
    <n v="26402"/>
    <n v="22809"/>
    <n v="3593"/>
    <n v="0.13608817513824711"/>
    <s v="Poor"/>
    <n v="2112.16"/>
    <n v="364767"/>
  </r>
  <r>
    <n v="25"/>
    <x v="24"/>
    <x v="2"/>
    <x v="1"/>
    <x v="5"/>
    <x v="19"/>
    <x v="3"/>
    <n v="20499"/>
    <n v="13107"/>
    <n v="7392"/>
    <n v="0.36060295624176791"/>
    <s v="Good"/>
    <n v="1024.95"/>
    <n v="385266"/>
  </r>
  <r>
    <n v="26"/>
    <x v="25"/>
    <x v="3"/>
    <x v="0"/>
    <x v="0"/>
    <x v="20"/>
    <x v="4"/>
    <n v="22507"/>
    <n v="15607"/>
    <n v="6900"/>
    <n v="0.30657128893233215"/>
    <s v="Good"/>
    <n v="1800.56"/>
    <n v="407773"/>
  </r>
  <r>
    <n v="27"/>
    <x v="26"/>
    <x v="3"/>
    <x v="0"/>
    <x v="3"/>
    <x v="18"/>
    <x v="4"/>
    <n v="4786"/>
    <n v="3412"/>
    <n v="1374"/>
    <n v="0.28708733806936898"/>
    <s v="Poor"/>
    <n v="382.88"/>
    <n v="412559"/>
  </r>
  <r>
    <n v="28"/>
    <x v="27"/>
    <x v="0"/>
    <x v="1"/>
    <x v="4"/>
    <x v="15"/>
    <x v="2"/>
    <n v="26850"/>
    <n v="20892"/>
    <n v="5958"/>
    <n v="0.22189944134078213"/>
    <s v="Good"/>
    <n v="1342.5"/>
    <n v="439409"/>
  </r>
  <r>
    <n v="29"/>
    <x v="28"/>
    <x v="3"/>
    <x v="1"/>
    <x v="2"/>
    <x v="21"/>
    <x v="1"/>
    <n v="19466"/>
    <n v="17460"/>
    <n v="2006"/>
    <n v="0.10305147436556046"/>
    <s v="Poor"/>
    <n v="973.30000000000007"/>
    <n v="458875"/>
  </r>
  <r>
    <n v="30"/>
    <x v="29"/>
    <x v="0"/>
    <x v="0"/>
    <x v="1"/>
    <x v="10"/>
    <x v="4"/>
    <n v="14784"/>
    <n v="9723"/>
    <n v="5061"/>
    <n v="0.34232954545454547"/>
    <s v="Good"/>
    <n v="1182.72"/>
    <n v="473659"/>
  </r>
  <r>
    <n v="31"/>
    <x v="30"/>
    <x v="0"/>
    <x v="1"/>
    <x v="5"/>
    <x v="22"/>
    <x v="4"/>
    <n v="28085"/>
    <n v="22509"/>
    <n v="5576"/>
    <n v="0.19854014598540146"/>
    <s v="Good"/>
    <n v="1404.25"/>
    <n v="501744"/>
  </r>
  <r>
    <n v="32"/>
    <x v="31"/>
    <x v="3"/>
    <x v="1"/>
    <x v="4"/>
    <x v="23"/>
    <x v="3"/>
    <n v="11264"/>
    <n v="9957"/>
    <n v="1307"/>
    <n v="0.11603338068181818"/>
    <s v="Poor"/>
    <n v="563.20000000000005"/>
    <n v="513008"/>
  </r>
  <r>
    <n v="33"/>
    <x v="32"/>
    <x v="2"/>
    <x v="1"/>
    <x v="5"/>
    <x v="16"/>
    <x v="2"/>
    <n v="10384"/>
    <n v="7534"/>
    <n v="2850"/>
    <n v="0.2744607087827427"/>
    <s v="Poor"/>
    <n v="519.20000000000005"/>
    <n v="523392"/>
  </r>
  <r>
    <n v="34"/>
    <x v="33"/>
    <x v="1"/>
    <x v="1"/>
    <x v="2"/>
    <x v="12"/>
    <x v="3"/>
    <n v="13816"/>
    <n v="9688"/>
    <n v="4128"/>
    <n v="0.29878401852924147"/>
    <s v="Poor"/>
    <n v="690.80000000000007"/>
    <n v="537208"/>
  </r>
  <r>
    <n v="35"/>
    <x v="34"/>
    <x v="0"/>
    <x v="0"/>
    <x v="1"/>
    <x v="24"/>
    <x v="0"/>
    <n v="19945"/>
    <n v="17781"/>
    <n v="2164"/>
    <n v="0.10849837051892705"/>
    <s v="Poor"/>
    <n v="1595.6000000000001"/>
    <n v="557153"/>
  </r>
  <r>
    <n v="36"/>
    <x v="35"/>
    <x v="0"/>
    <x v="0"/>
    <x v="1"/>
    <x v="13"/>
    <x v="2"/>
    <n v="12316"/>
    <n v="10577"/>
    <n v="1739"/>
    <n v="0.14119844105228971"/>
    <s v="Poor"/>
    <n v="985.28"/>
    <n v="569469"/>
  </r>
  <r>
    <n v="37"/>
    <x v="36"/>
    <x v="0"/>
    <x v="1"/>
    <x v="4"/>
    <x v="25"/>
    <x v="3"/>
    <n v="5269"/>
    <n v="3833"/>
    <n v="1436"/>
    <n v="0.27253748339343331"/>
    <s v="Poor"/>
    <n v="263.45"/>
    <n v="574738"/>
  </r>
  <r>
    <n v="38"/>
    <x v="37"/>
    <x v="1"/>
    <x v="0"/>
    <x v="1"/>
    <x v="15"/>
    <x v="3"/>
    <n v="23738"/>
    <n v="16560"/>
    <n v="7178"/>
    <n v="0.30238436262532647"/>
    <s v="Good"/>
    <n v="1899.04"/>
    <n v="598476"/>
  </r>
  <r>
    <n v="39"/>
    <x v="38"/>
    <x v="3"/>
    <x v="0"/>
    <x v="0"/>
    <x v="6"/>
    <x v="1"/>
    <n v="23819"/>
    <n v="17508"/>
    <n v="6311"/>
    <n v="0.26495654729417689"/>
    <s v="Good"/>
    <n v="1905.52"/>
    <n v="622295"/>
  </r>
  <r>
    <n v="40"/>
    <x v="39"/>
    <x v="1"/>
    <x v="1"/>
    <x v="4"/>
    <x v="11"/>
    <x v="1"/>
    <n v="4280"/>
    <n v="2925"/>
    <n v="1355"/>
    <n v="0.31658878504672899"/>
    <s v="Poor"/>
    <n v="214"/>
    <n v="626575"/>
  </r>
  <r>
    <n v="41"/>
    <x v="40"/>
    <x v="2"/>
    <x v="1"/>
    <x v="4"/>
    <x v="26"/>
    <x v="3"/>
    <n v="18083"/>
    <n v="13861"/>
    <n v="4222"/>
    <n v="0.23347895813747718"/>
    <s v="Poor"/>
    <n v="904.15000000000009"/>
    <n v="644658"/>
  </r>
  <r>
    <n v="42"/>
    <x v="41"/>
    <x v="1"/>
    <x v="0"/>
    <x v="1"/>
    <x v="18"/>
    <x v="0"/>
    <n v="22615"/>
    <n v="14629"/>
    <n v="7986"/>
    <n v="0.35312845456555386"/>
    <s v="Good"/>
    <n v="1809.2"/>
    <n v="667273"/>
  </r>
  <r>
    <n v="43"/>
    <x v="42"/>
    <x v="2"/>
    <x v="1"/>
    <x v="6"/>
    <x v="0"/>
    <x v="3"/>
    <n v="16811"/>
    <n v="13746"/>
    <n v="3065"/>
    <n v="0.18232109928023318"/>
    <s v="Poor"/>
    <n v="840.55000000000007"/>
    <n v="684084"/>
  </r>
  <r>
    <n v="44"/>
    <x v="43"/>
    <x v="3"/>
    <x v="0"/>
    <x v="3"/>
    <x v="25"/>
    <x v="0"/>
    <n v="12859"/>
    <n v="8499"/>
    <n v="4360"/>
    <n v="0.33906213546932112"/>
    <s v="Poor"/>
    <n v="1028.72"/>
    <n v="696943"/>
  </r>
  <r>
    <n v="45"/>
    <x v="44"/>
    <x v="3"/>
    <x v="1"/>
    <x v="5"/>
    <x v="14"/>
    <x v="3"/>
    <n v="9025"/>
    <n v="5975"/>
    <n v="3050"/>
    <n v="0.33795013850415512"/>
    <s v="Poor"/>
    <n v="451.25"/>
    <n v="705968"/>
  </r>
  <r>
    <n v="46"/>
    <x v="45"/>
    <x v="1"/>
    <x v="0"/>
    <x v="7"/>
    <x v="24"/>
    <x v="4"/>
    <n v="27125"/>
    <n v="24151"/>
    <n v="2974"/>
    <n v="0.1096405529953917"/>
    <s v="Poor"/>
    <n v="2170"/>
    <n v="733093"/>
  </r>
  <r>
    <n v="47"/>
    <x v="46"/>
    <x v="3"/>
    <x v="1"/>
    <x v="6"/>
    <x v="25"/>
    <x v="2"/>
    <n v="4910"/>
    <n v="3805"/>
    <n v="1105"/>
    <n v="0.225050916496945"/>
    <s v="Poor"/>
    <n v="245.5"/>
    <n v="738003"/>
  </r>
  <r>
    <n v="48"/>
    <x v="47"/>
    <x v="2"/>
    <x v="0"/>
    <x v="7"/>
    <x v="22"/>
    <x v="3"/>
    <n v="13768"/>
    <n v="10313"/>
    <n v="3455"/>
    <n v="0.25094421847762927"/>
    <s v="Poor"/>
    <n v="1101.44"/>
    <n v="751771"/>
  </r>
  <r>
    <n v="49"/>
    <x v="48"/>
    <x v="2"/>
    <x v="0"/>
    <x v="1"/>
    <x v="16"/>
    <x v="4"/>
    <n v="28518"/>
    <n v="25660"/>
    <n v="2858"/>
    <n v="0.10021740655024897"/>
    <s v="Poor"/>
    <n v="2281.44"/>
    <n v="780289"/>
  </r>
  <r>
    <n v="50"/>
    <x v="49"/>
    <x v="3"/>
    <x v="0"/>
    <x v="0"/>
    <x v="26"/>
    <x v="2"/>
    <n v="24630"/>
    <n v="16859"/>
    <n v="7771"/>
    <n v="0.3155095412099066"/>
    <s v="Good"/>
    <n v="1970.4"/>
    <n v="804919"/>
  </r>
  <r>
    <n v="51"/>
    <x v="50"/>
    <x v="2"/>
    <x v="1"/>
    <x v="2"/>
    <x v="4"/>
    <x v="3"/>
    <n v="5943"/>
    <n v="4384"/>
    <n v="1559"/>
    <n v="0.26232542486959448"/>
    <s v="Poor"/>
    <n v="297.15000000000003"/>
    <n v="810862"/>
  </r>
  <r>
    <n v="52"/>
    <x v="51"/>
    <x v="0"/>
    <x v="0"/>
    <x v="7"/>
    <x v="24"/>
    <x v="0"/>
    <n v="12216"/>
    <n v="8895"/>
    <n v="3321"/>
    <n v="0.27185658153241649"/>
    <s v="Poor"/>
    <n v="977.28"/>
    <n v="823078"/>
  </r>
  <r>
    <n v="53"/>
    <x v="52"/>
    <x v="1"/>
    <x v="0"/>
    <x v="7"/>
    <x v="7"/>
    <x v="2"/>
    <n v="22306"/>
    <n v="15746"/>
    <n v="6560"/>
    <n v="0.29409127588989509"/>
    <s v="Good"/>
    <n v="1784.48"/>
    <n v="845384"/>
  </r>
  <r>
    <n v="54"/>
    <x v="53"/>
    <x v="2"/>
    <x v="0"/>
    <x v="1"/>
    <x v="2"/>
    <x v="1"/>
    <n v="17746"/>
    <n v="11244"/>
    <n v="6502"/>
    <n v="0.36639242646230136"/>
    <s v="Good"/>
    <n v="1419.68"/>
    <n v="863130"/>
  </r>
  <r>
    <n v="55"/>
    <x v="54"/>
    <x v="0"/>
    <x v="1"/>
    <x v="6"/>
    <x v="11"/>
    <x v="2"/>
    <n v="17314"/>
    <n v="12062"/>
    <n v="5252"/>
    <n v="0.30333833891648376"/>
    <s v="Good"/>
    <n v="865.7"/>
    <n v="880444"/>
  </r>
  <r>
    <n v="56"/>
    <x v="55"/>
    <x v="2"/>
    <x v="0"/>
    <x v="0"/>
    <x v="20"/>
    <x v="3"/>
    <n v="26570"/>
    <n v="20277"/>
    <n v="6293"/>
    <n v="0.23684606699284907"/>
    <s v="Good"/>
    <n v="2125.6"/>
    <n v="907014"/>
  </r>
  <r>
    <n v="57"/>
    <x v="56"/>
    <x v="0"/>
    <x v="0"/>
    <x v="7"/>
    <x v="27"/>
    <x v="4"/>
    <n v="18440"/>
    <n v="14772"/>
    <n v="3668"/>
    <n v="0.19891540130151844"/>
    <s v="Poor"/>
    <n v="1475.2"/>
    <n v="925454"/>
  </r>
  <r>
    <n v="58"/>
    <x v="57"/>
    <x v="2"/>
    <x v="0"/>
    <x v="3"/>
    <x v="27"/>
    <x v="2"/>
    <n v="18052"/>
    <n v="16236"/>
    <n v="1816"/>
    <n v="0.10059827165964991"/>
    <s v="Poor"/>
    <n v="1444.16"/>
    <n v="943506"/>
  </r>
  <r>
    <n v="59"/>
    <x v="58"/>
    <x v="1"/>
    <x v="1"/>
    <x v="5"/>
    <x v="3"/>
    <x v="2"/>
    <n v="27796"/>
    <n v="18235"/>
    <n v="9561"/>
    <n v="0.34397035544682686"/>
    <s v="Good"/>
    <n v="1389.8000000000002"/>
    <n v="971302"/>
  </r>
  <r>
    <n v="60"/>
    <x v="59"/>
    <x v="0"/>
    <x v="0"/>
    <x v="1"/>
    <x v="28"/>
    <x v="1"/>
    <n v="21524"/>
    <n v="14147"/>
    <n v="7377"/>
    <n v="0.34273369262218917"/>
    <s v="Good"/>
    <n v="1721.92"/>
    <n v="992826"/>
  </r>
  <r>
    <n v="61"/>
    <x v="60"/>
    <x v="0"/>
    <x v="1"/>
    <x v="2"/>
    <x v="29"/>
    <x v="0"/>
    <n v="17658"/>
    <n v="11884"/>
    <n v="5774"/>
    <n v="0.32699059916185297"/>
    <s v="Good"/>
    <n v="882.90000000000009"/>
    <n v="1010484"/>
  </r>
  <r>
    <n v="62"/>
    <x v="61"/>
    <x v="2"/>
    <x v="1"/>
    <x v="6"/>
    <x v="30"/>
    <x v="3"/>
    <n v="16751"/>
    <n v="12144"/>
    <n v="4607"/>
    <n v="0.27502835651602892"/>
    <s v="Poor"/>
    <n v="837.55000000000007"/>
    <n v="1027235"/>
  </r>
  <r>
    <n v="63"/>
    <x v="62"/>
    <x v="2"/>
    <x v="1"/>
    <x v="6"/>
    <x v="5"/>
    <x v="0"/>
    <n v="5069"/>
    <n v="3665"/>
    <n v="1404"/>
    <n v="0.27697770763464197"/>
    <s v="Poor"/>
    <n v="253.45000000000002"/>
    <n v="1032304"/>
  </r>
  <r>
    <n v="64"/>
    <x v="63"/>
    <x v="3"/>
    <x v="0"/>
    <x v="1"/>
    <x v="31"/>
    <x v="4"/>
    <n v="29735"/>
    <n v="24687"/>
    <n v="5048"/>
    <n v="0.16976626870691106"/>
    <s v="Good"/>
    <n v="2378.8000000000002"/>
    <n v="1062039"/>
  </r>
  <r>
    <n v="65"/>
    <x v="64"/>
    <x v="2"/>
    <x v="0"/>
    <x v="3"/>
    <x v="32"/>
    <x v="4"/>
    <n v="15491"/>
    <n v="9853"/>
    <n v="5638"/>
    <n v="0.3639532631850752"/>
    <s v="Good"/>
    <n v="1239.28"/>
    <n v="1077530"/>
  </r>
  <r>
    <n v="66"/>
    <x v="65"/>
    <x v="2"/>
    <x v="0"/>
    <x v="1"/>
    <x v="33"/>
    <x v="3"/>
    <n v="28106"/>
    <n v="25013"/>
    <n v="3093"/>
    <n v="0.11004767665267202"/>
    <s v="Poor"/>
    <n v="2248.48"/>
    <n v="1105636"/>
  </r>
  <r>
    <n v="67"/>
    <x v="66"/>
    <x v="1"/>
    <x v="1"/>
    <x v="5"/>
    <x v="27"/>
    <x v="4"/>
    <n v="23089"/>
    <n v="19254"/>
    <n v="3835"/>
    <n v="0.16609640954567109"/>
    <s v="Poor"/>
    <n v="1154.45"/>
    <n v="1128725"/>
  </r>
  <r>
    <n v="68"/>
    <x v="67"/>
    <x v="1"/>
    <x v="1"/>
    <x v="6"/>
    <x v="4"/>
    <x v="1"/>
    <n v="20026"/>
    <n v="17984"/>
    <n v="2042"/>
    <n v="0.10196744232497752"/>
    <s v="Poor"/>
    <n v="1001.3000000000001"/>
    <n v="1148751"/>
  </r>
  <r>
    <n v="69"/>
    <x v="68"/>
    <x v="0"/>
    <x v="1"/>
    <x v="4"/>
    <x v="10"/>
    <x v="0"/>
    <n v="3988"/>
    <n v="2714"/>
    <n v="1274"/>
    <n v="0.31945837512537612"/>
    <s v="Poor"/>
    <n v="199.4"/>
    <n v="1152739"/>
  </r>
  <r>
    <n v="70"/>
    <x v="69"/>
    <x v="2"/>
    <x v="0"/>
    <x v="7"/>
    <x v="3"/>
    <x v="1"/>
    <n v="9205"/>
    <n v="8026"/>
    <n v="1179"/>
    <n v="0.12808256382400868"/>
    <s v="Poor"/>
    <n v="736.4"/>
    <n v="1161944"/>
  </r>
  <r>
    <n v="71"/>
    <x v="70"/>
    <x v="3"/>
    <x v="1"/>
    <x v="4"/>
    <x v="8"/>
    <x v="2"/>
    <n v="28902"/>
    <n v="19105"/>
    <n v="9797"/>
    <n v="0.3389730814476507"/>
    <s v="Good"/>
    <n v="1445.1000000000001"/>
    <n v="1190846"/>
  </r>
  <r>
    <n v="72"/>
    <x v="71"/>
    <x v="3"/>
    <x v="1"/>
    <x v="4"/>
    <x v="34"/>
    <x v="1"/>
    <n v="17678"/>
    <n v="14746"/>
    <n v="2932"/>
    <n v="0.16585586604819549"/>
    <s v="Poor"/>
    <n v="883.90000000000009"/>
    <n v="1208524"/>
  </r>
  <r>
    <n v="73"/>
    <x v="72"/>
    <x v="0"/>
    <x v="1"/>
    <x v="5"/>
    <x v="25"/>
    <x v="4"/>
    <n v="26496"/>
    <n v="23793"/>
    <n v="2703"/>
    <n v="0.10201539855072464"/>
    <s v="Poor"/>
    <n v="1324.8000000000002"/>
    <n v="1235020"/>
  </r>
  <r>
    <n v="74"/>
    <x v="73"/>
    <x v="1"/>
    <x v="1"/>
    <x v="6"/>
    <x v="35"/>
    <x v="1"/>
    <n v="6369"/>
    <n v="5405"/>
    <n v="964"/>
    <n v="0.1513581409954467"/>
    <s v="Poor"/>
    <n v="318.45000000000005"/>
    <n v="1241389"/>
  </r>
  <r>
    <n v="75"/>
    <x v="74"/>
    <x v="0"/>
    <x v="1"/>
    <x v="2"/>
    <x v="3"/>
    <x v="4"/>
    <n v="17004"/>
    <n v="10698"/>
    <n v="6306"/>
    <n v="0.37085391672547635"/>
    <s v="Good"/>
    <n v="850.2"/>
    <n v="1258393"/>
  </r>
  <r>
    <n v="76"/>
    <x v="75"/>
    <x v="0"/>
    <x v="0"/>
    <x v="0"/>
    <x v="17"/>
    <x v="2"/>
    <n v="5148"/>
    <n v="3856"/>
    <n v="1292"/>
    <n v="0.25097125097125095"/>
    <s v="Poor"/>
    <n v="411.84000000000003"/>
    <n v="1263541"/>
  </r>
  <r>
    <n v="77"/>
    <x v="76"/>
    <x v="0"/>
    <x v="1"/>
    <x v="4"/>
    <x v="36"/>
    <x v="3"/>
    <n v="5919"/>
    <n v="5047"/>
    <n v="872"/>
    <n v="0.14732218280114884"/>
    <s v="Poor"/>
    <n v="295.95"/>
    <n v="1269460"/>
  </r>
  <r>
    <n v="78"/>
    <x v="77"/>
    <x v="0"/>
    <x v="0"/>
    <x v="7"/>
    <x v="28"/>
    <x v="3"/>
    <n v="12848"/>
    <n v="10792"/>
    <n v="2056"/>
    <n v="0.16002490660024907"/>
    <s v="Poor"/>
    <n v="1027.8399999999999"/>
    <n v="1282308"/>
  </r>
  <r>
    <n v="79"/>
    <x v="78"/>
    <x v="3"/>
    <x v="0"/>
    <x v="7"/>
    <x v="12"/>
    <x v="1"/>
    <n v="12268"/>
    <n v="8818"/>
    <n v="3450"/>
    <n v="0.28121943267036192"/>
    <s v="Poor"/>
    <n v="981.44"/>
    <n v="1294576"/>
  </r>
  <r>
    <n v="80"/>
    <x v="79"/>
    <x v="3"/>
    <x v="1"/>
    <x v="5"/>
    <x v="13"/>
    <x v="1"/>
    <n v="26582"/>
    <n v="19041"/>
    <n v="7541"/>
    <n v="0.2836882100669626"/>
    <s v="Good"/>
    <n v="1329.1000000000001"/>
    <n v="1321158"/>
  </r>
  <r>
    <n v="81"/>
    <x v="80"/>
    <x v="0"/>
    <x v="1"/>
    <x v="4"/>
    <x v="6"/>
    <x v="3"/>
    <n v="16473"/>
    <n v="14646"/>
    <n v="1827"/>
    <n v="0.11090875978874522"/>
    <s v="Poor"/>
    <n v="823.65000000000009"/>
    <n v="1337631"/>
  </r>
  <r>
    <n v="82"/>
    <x v="81"/>
    <x v="2"/>
    <x v="1"/>
    <x v="2"/>
    <x v="25"/>
    <x v="1"/>
    <n v="25437"/>
    <n v="18625"/>
    <n v="6812"/>
    <n v="0.26779887565357552"/>
    <s v="Good"/>
    <n v="1271.8500000000001"/>
    <n v="1363068"/>
  </r>
  <r>
    <n v="83"/>
    <x v="82"/>
    <x v="1"/>
    <x v="1"/>
    <x v="6"/>
    <x v="37"/>
    <x v="0"/>
    <n v="6512"/>
    <n v="4039"/>
    <n v="2473"/>
    <n v="0.37976044226044225"/>
    <s v="Poor"/>
    <n v="325.60000000000002"/>
    <n v="1369580"/>
  </r>
  <r>
    <n v="84"/>
    <x v="83"/>
    <x v="2"/>
    <x v="1"/>
    <x v="4"/>
    <x v="11"/>
    <x v="4"/>
    <n v="13717"/>
    <n v="9719"/>
    <n v="3998"/>
    <n v="0.29146314791864109"/>
    <s v="Poor"/>
    <n v="685.85"/>
    <n v="1383297"/>
  </r>
  <r>
    <n v="85"/>
    <x v="84"/>
    <x v="0"/>
    <x v="0"/>
    <x v="0"/>
    <x v="9"/>
    <x v="4"/>
    <n v="16696"/>
    <n v="12537"/>
    <n v="4159"/>
    <n v="0.24910158121705797"/>
    <s v="Poor"/>
    <n v="1335.68"/>
    <n v="1399993"/>
  </r>
  <r>
    <n v="86"/>
    <x v="85"/>
    <x v="0"/>
    <x v="1"/>
    <x v="6"/>
    <x v="21"/>
    <x v="0"/>
    <n v="16152"/>
    <n v="13688"/>
    <n v="2464"/>
    <n v="0.15255076770678555"/>
    <s v="Poor"/>
    <n v="807.6"/>
    <n v="1416145"/>
  </r>
  <r>
    <n v="87"/>
    <x v="86"/>
    <x v="0"/>
    <x v="1"/>
    <x v="6"/>
    <x v="22"/>
    <x v="4"/>
    <n v="23879"/>
    <n v="16308"/>
    <n v="7571"/>
    <n v="0.31705682817538422"/>
    <s v="Good"/>
    <n v="1193.95"/>
    <n v="1440024"/>
  </r>
  <r>
    <n v="88"/>
    <x v="87"/>
    <x v="1"/>
    <x v="0"/>
    <x v="3"/>
    <x v="26"/>
    <x v="2"/>
    <n v="19812"/>
    <n v="15108"/>
    <n v="4704"/>
    <n v="0.23743185947910359"/>
    <s v="Poor"/>
    <n v="1584.96"/>
    <n v="1459836"/>
  </r>
  <r>
    <n v="89"/>
    <x v="88"/>
    <x v="3"/>
    <x v="0"/>
    <x v="0"/>
    <x v="13"/>
    <x v="4"/>
    <n v="28689"/>
    <n v="23198"/>
    <n v="5491"/>
    <n v="0.19139739970023353"/>
    <s v="Good"/>
    <n v="2295.12"/>
    <n v="1488525"/>
  </r>
  <r>
    <n v="90"/>
    <x v="89"/>
    <x v="2"/>
    <x v="0"/>
    <x v="7"/>
    <x v="38"/>
    <x v="0"/>
    <n v="22720"/>
    <n v="16964"/>
    <n v="5756"/>
    <n v="0.25334507042253523"/>
    <s v="Good"/>
    <n v="1817.6000000000001"/>
    <n v="1511245"/>
  </r>
  <r>
    <n v="91"/>
    <x v="90"/>
    <x v="2"/>
    <x v="1"/>
    <x v="2"/>
    <x v="1"/>
    <x v="2"/>
    <n v="21070"/>
    <n v="14232"/>
    <n v="6838"/>
    <n v="0.32453725676317041"/>
    <s v="Good"/>
    <n v="1053.5"/>
    <n v="1532315"/>
  </r>
  <r>
    <n v="92"/>
    <x v="91"/>
    <x v="3"/>
    <x v="0"/>
    <x v="7"/>
    <x v="33"/>
    <x v="3"/>
    <n v="5006"/>
    <n v="3123"/>
    <n v="1883"/>
    <n v="0.37614862165401519"/>
    <s v="Poor"/>
    <n v="400.48"/>
    <n v="1537321"/>
  </r>
  <r>
    <n v="93"/>
    <x v="92"/>
    <x v="2"/>
    <x v="0"/>
    <x v="0"/>
    <x v="39"/>
    <x v="3"/>
    <n v="3008"/>
    <n v="2561"/>
    <n v="447"/>
    <n v="0.14860372340425532"/>
    <s v="Poor"/>
    <n v="240.64000000000001"/>
    <n v="1540329"/>
  </r>
  <r>
    <n v="94"/>
    <x v="93"/>
    <x v="2"/>
    <x v="1"/>
    <x v="5"/>
    <x v="40"/>
    <x v="1"/>
    <n v="16731"/>
    <n v="11214"/>
    <n v="5517"/>
    <n v="0.32974717590102204"/>
    <s v="Good"/>
    <n v="836.55000000000007"/>
    <n v="1557060"/>
  </r>
  <r>
    <n v="95"/>
    <x v="94"/>
    <x v="3"/>
    <x v="0"/>
    <x v="7"/>
    <x v="40"/>
    <x v="3"/>
    <n v="25721"/>
    <n v="20828"/>
    <n v="4893"/>
    <n v="0.19023366121068389"/>
    <s v="Poor"/>
    <n v="2057.6799999999998"/>
    <n v="1582781"/>
  </r>
  <r>
    <n v="96"/>
    <x v="95"/>
    <x v="2"/>
    <x v="1"/>
    <x v="4"/>
    <x v="16"/>
    <x v="3"/>
    <n v="12746"/>
    <n v="9105"/>
    <n v="3641"/>
    <n v="0.28565824572414877"/>
    <s v="Poor"/>
    <n v="637.30000000000007"/>
    <n v="1595527"/>
  </r>
  <r>
    <n v="97"/>
    <x v="96"/>
    <x v="2"/>
    <x v="0"/>
    <x v="0"/>
    <x v="41"/>
    <x v="1"/>
    <n v="17130"/>
    <n v="12065"/>
    <n v="5065"/>
    <n v="0.29568009340338586"/>
    <s v="Good"/>
    <n v="1370.4"/>
    <n v="1612657"/>
  </r>
  <r>
    <n v="98"/>
    <x v="97"/>
    <x v="3"/>
    <x v="0"/>
    <x v="7"/>
    <x v="24"/>
    <x v="3"/>
    <n v="19263"/>
    <n v="13395"/>
    <n v="5868"/>
    <n v="0.30462544774957173"/>
    <s v="Good"/>
    <n v="1541.04"/>
    <n v="1631920"/>
  </r>
  <r>
    <n v="99"/>
    <x v="98"/>
    <x v="3"/>
    <x v="1"/>
    <x v="6"/>
    <x v="42"/>
    <x v="2"/>
    <n v="19662"/>
    <n v="14327"/>
    <n v="5335"/>
    <n v="0.27133557115247686"/>
    <s v="Good"/>
    <n v="983.1"/>
    <n v="1651582"/>
  </r>
  <r>
    <n v="100"/>
    <x v="99"/>
    <x v="2"/>
    <x v="0"/>
    <x v="3"/>
    <x v="19"/>
    <x v="2"/>
    <n v="25528"/>
    <n v="22200"/>
    <n v="3328"/>
    <n v="0.13036665622062049"/>
    <s v="Poor"/>
    <n v="2042.24"/>
    <n v="1677110"/>
  </r>
  <r>
    <n v="101"/>
    <x v="100"/>
    <x v="0"/>
    <x v="0"/>
    <x v="7"/>
    <x v="40"/>
    <x v="4"/>
    <n v="5348"/>
    <n v="3731"/>
    <n v="1617"/>
    <n v="0.30235602094240838"/>
    <s v="Poor"/>
    <n v="427.84000000000003"/>
    <n v="1682458"/>
  </r>
  <r>
    <n v="102"/>
    <x v="101"/>
    <x v="3"/>
    <x v="1"/>
    <x v="6"/>
    <x v="23"/>
    <x v="4"/>
    <n v="22285"/>
    <n v="14394"/>
    <n v="7891"/>
    <n v="0.3540946825218757"/>
    <s v="Good"/>
    <n v="1114.25"/>
    <n v="1704743"/>
  </r>
  <r>
    <n v="103"/>
    <x v="102"/>
    <x v="2"/>
    <x v="0"/>
    <x v="0"/>
    <x v="43"/>
    <x v="3"/>
    <n v="17832"/>
    <n v="14995"/>
    <n v="2837"/>
    <n v="0.15909600717810676"/>
    <s v="Poor"/>
    <n v="1426.56"/>
    <n v="1722575"/>
  </r>
  <r>
    <n v="104"/>
    <x v="103"/>
    <x v="2"/>
    <x v="1"/>
    <x v="6"/>
    <x v="27"/>
    <x v="1"/>
    <n v="18659"/>
    <n v="11399"/>
    <n v="7260"/>
    <n v="0.38908837558282866"/>
    <s v="Good"/>
    <n v="932.95"/>
    <n v="1741234"/>
  </r>
  <r>
    <n v="105"/>
    <x v="104"/>
    <x v="2"/>
    <x v="0"/>
    <x v="1"/>
    <x v="10"/>
    <x v="1"/>
    <n v="8814"/>
    <n v="7395"/>
    <n v="1419"/>
    <n v="0.16099387338325391"/>
    <s v="Poor"/>
    <n v="705.12"/>
    <n v="1750048"/>
  </r>
  <r>
    <n v="106"/>
    <x v="105"/>
    <x v="3"/>
    <x v="0"/>
    <x v="1"/>
    <x v="25"/>
    <x v="2"/>
    <n v="18540"/>
    <n v="13865"/>
    <n v="4675"/>
    <n v="0.25215749730312836"/>
    <s v="Poor"/>
    <n v="1483.2"/>
    <n v="1768588"/>
  </r>
  <r>
    <n v="107"/>
    <x v="106"/>
    <x v="3"/>
    <x v="1"/>
    <x v="4"/>
    <x v="18"/>
    <x v="0"/>
    <n v="11682"/>
    <n v="7094"/>
    <n v="4588"/>
    <n v="0.39274096901215544"/>
    <s v="Poor"/>
    <n v="584.1"/>
    <n v="1780270"/>
  </r>
  <r>
    <n v="108"/>
    <x v="107"/>
    <x v="1"/>
    <x v="1"/>
    <x v="2"/>
    <x v="13"/>
    <x v="0"/>
    <n v="28130"/>
    <n v="17510"/>
    <n v="10620"/>
    <n v="0.37753288304301458"/>
    <s v="Good"/>
    <n v="1406.5"/>
    <n v="1808400"/>
  </r>
  <r>
    <n v="109"/>
    <x v="108"/>
    <x v="2"/>
    <x v="1"/>
    <x v="4"/>
    <x v="16"/>
    <x v="2"/>
    <n v="12219"/>
    <n v="9328"/>
    <n v="2891"/>
    <n v="0.2365987396677306"/>
    <s v="Poor"/>
    <n v="610.95000000000005"/>
    <n v="1820619"/>
  </r>
  <r>
    <n v="110"/>
    <x v="109"/>
    <x v="1"/>
    <x v="1"/>
    <x v="4"/>
    <x v="34"/>
    <x v="2"/>
    <n v="13169"/>
    <n v="8888"/>
    <n v="4281"/>
    <n v="0.32508163110334876"/>
    <s v="Poor"/>
    <n v="658.45"/>
    <n v="1833788"/>
  </r>
  <r>
    <n v="111"/>
    <x v="110"/>
    <x v="3"/>
    <x v="0"/>
    <x v="1"/>
    <x v="8"/>
    <x v="3"/>
    <n v="3614"/>
    <n v="3028"/>
    <n v="586"/>
    <n v="0.16214720531267293"/>
    <s v="Poor"/>
    <n v="289.12"/>
    <n v="1837402"/>
  </r>
  <r>
    <n v="112"/>
    <x v="111"/>
    <x v="3"/>
    <x v="1"/>
    <x v="4"/>
    <x v="18"/>
    <x v="2"/>
    <n v="27189"/>
    <n v="23741"/>
    <n v="3448"/>
    <n v="0.12681599176137409"/>
    <s v="Poor"/>
    <n v="1359.45"/>
    <n v="1864591"/>
  </r>
  <r>
    <n v="113"/>
    <x v="112"/>
    <x v="2"/>
    <x v="0"/>
    <x v="1"/>
    <x v="42"/>
    <x v="1"/>
    <n v="10537"/>
    <n v="8770"/>
    <n v="1767"/>
    <n v="0.1676947897883648"/>
    <s v="Poor"/>
    <n v="842.96"/>
    <n v="1875128"/>
  </r>
  <r>
    <n v="114"/>
    <x v="113"/>
    <x v="0"/>
    <x v="1"/>
    <x v="4"/>
    <x v="40"/>
    <x v="0"/>
    <n v="7848"/>
    <n v="4969"/>
    <n v="2879"/>
    <n v="0.36684505606523954"/>
    <s v="Poor"/>
    <n v="392.40000000000003"/>
    <n v="1882976"/>
  </r>
  <r>
    <n v="115"/>
    <x v="114"/>
    <x v="2"/>
    <x v="0"/>
    <x v="1"/>
    <x v="9"/>
    <x v="2"/>
    <n v="27755"/>
    <n v="22304"/>
    <n v="5451"/>
    <n v="0.19639704557737345"/>
    <s v="Good"/>
    <n v="2220.4"/>
    <n v="1910731"/>
  </r>
  <r>
    <n v="116"/>
    <x v="115"/>
    <x v="3"/>
    <x v="1"/>
    <x v="4"/>
    <x v="25"/>
    <x v="4"/>
    <n v="4181"/>
    <n v="2556"/>
    <n v="1625"/>
    <n v="0.38866299928246834"/>
    <s v="Poor"/>
    <n v="209.05"/>
    <n v="1914912"/>
  </r>
  <r>
    <n v="117"/>
    <x v="116"/>
    <x v="0"/>
    <x v="0"/>
    <x v="3"/>
    <x v="8"/>
    <x v="2"/>
    <n v="8389"/>
    <n v="6532"/>
    <n v="1857"/>
    <n v="0.22136130647276195"/>
    <s v="Poor"/>
    <n v="671.12"/>
    <n v="1923301"/>
  </r>
  <r>
    <n v="118"/>
    <x v="117"/>
    <x v="1"/>
    <x v="0"/>
    <x v="3"/>
    <x v="4"/>
    <x v="1"/>
    <n v="5296"/>
    <n v="4380"/>
    <n v="916"/>
    <n v="0.1729607250755287"/>
    <s v="Poor"/>
    <n v="423.68"/>
    <n v="1928597"/>
  </r>
  <r>
    <n v="119"/>
    <x v="118"/>
    <x v="1"/>
    <x v="1"/>
    <x v="2"/>
    <x v="32"/>
    <x v="0"/>
    <n v="23944"/>
    <n v="15560"/>
    <n v="8384"/>
    <n v="0.35015035081857671"/>
    <s v="Good"/>
    <n v="1197.2"/>
    <n v="1952541"/>
  </r>
  <r>
    <n v="120"/>
    <x v="119"/>
    <x v="3"/>
    <x v="1"/>
    <x v="2"/>
    <x v="35"/>
    <x v="1"/>
    <n v="18898"/>
    <n v="13265"/>
    <n v="5633"/>
    <n v="0.29807387025082022"/>
    <s v="Good"/>
    <n v="944.90000000000009"/>
    <n v="1971439"/>
  </r>
  <r>
    <n v="121"/>
    <x v="120"/>
    <x v="0"/>
    <x v="0"/>
    <x v="0"/>
    <x v="14"/>
    <x v="4"/>
    <n v="13655"/>
    <n v="11129"/>
    <n v="2526"/>
    <n v="0.18498718418161844"/>
    <s v="Poor"/>
    <n v="1092.4000000000001"/>
    <n v="1985094"/>
  </r>
  <r>
    <n v="122"/>
    <x v="121"/>
    <x v="3"/>
    <x v="1"/>
    <x v="2"/>
    <x v="0"/>
    <x v="4"/>
    <n v="27432"/>
    <n v="21904"/>
    <n v="5528"/>
    <n v="0.20151647710702827"/>
    <s v="Good"/>
    <n v="1371.6000000000001"/>
    <n v="2012526"/>
  </r>
  <r>
    <n v="123"/>
    <x v="122"/>
    <x v="1"/>
    <x v="1"/>
    <x v="6"/>
    <x v="14"/>
    <x v="1"/>
    <n v="22740"/>
    <n v="15119"/>
    <n v="7621"/>
    <n v="0.33513632365875112"/>
    <s v="Good"/>
    <n v="1137"/>
    <n v="2035266"/>
  </r>
  <r>
    <n v="124"/>
    <x v="123"/>
    <x v="0"/>
    <x v="0"/>
    <x v="3"/>
    <x v="33"/>
    <x v="2"/>
    <n v="20494"/>
    <n v="13939"/>
    <n v="6555"/>
    <n v="0.31984971211086172"/>
    <s v="Good"/>
    <n v="1639.52"/>
    <n v="2055760"/>
  </r>
  <r>
    <n v="125"/>
    <x v="124"/>
    <x v="2"/>
    <x v="0"/>
    <x v="3"/>
    <x v="13"/>
    <x v="4"/>
    <n v="4689"/>
    <n v="3659"/>
    <n v="1030"/>
    <n v="0.21966304116016208"/>
    <s v="Poor"/>
    <n v="375.12"/>
    <n v="2060449"/>
  </r>
  <r>
    <n v="126"/>
    <x v="125"/>
    <x v="3"/>
    <x v="0"/>
    <x v="3"/>
    <x v="27"/>
    <x v="4"/>
    <n v="7805"/>
    <n v="6809"/>
    <n v="996"/>
    <n v="0.1276105060858424"/>
    <s v="Poor"/>
    <n v="624.4"/>
    <n v="2068254"/>
  </r>
  <r>
    <n v="127"/>
    <x v="126"/>
    <x v="1"/>
    <x v="0"/>
    <x v="1"/>
    <x v="12"/>
    <x v="2"/>
    <n v="29035"/>
    <n v="18117"/>
    <n v="10918"/>
    <n v="0.37602893060099879"/>
    <s v="Good"/>
    <n v="2322.8000000000002"/>
    <n v="2097289"/>
  </r>
  <r>
    <n v="128"/>
    <x v="127"/>
    <x v="2"/>
    <x v="0"/>
    <x v="7"/>
    <x v="2"/>
    <x v="3"/>
    <n v="28977"/>
    <n v="20727"/>
    <n v="8250"/>
    <n v="0.28470856196293615"/>
    <s v="Good"/>
    <n v="2318.16"/>
    <n v="2126266"/>
  </r>
  <r>
    <n v="129"/>
    <x v="128"/>
    <x v="1"/>
    <x v="1"/>
    <x v="6"/>
    <x v="25"/>
    <x v="1"/>
    <n v="22701"/>
    <n v="17830"/>
    <n v="4871"/>
    <n v="0.2145720452843487"/>
    <s v="Poor"/>
    <n v="1135.05"/>
    <n v="2148967"/>
  </r>
  <r>
    <n v="130"/>
    <x v="129"/>
    <x v="0"/>
    <x v="0"/>
    <x v="3"/>
    <x v="2"/>
    <x v="1"/>
    <n v="19348"/>
    <n v="12365"/>
    <n v="6983"/>
    <n v="0.36091585693611744"/>
    <s v="Good"/>
    <n v="1547.8400000000001"/>
    <n v="2168315"/>
  </r>
  <r>
    <n v="131"/>
    <x v="130"/>
    <x v="1"/>
    <x v="0"/>
    <x v="7"/>
    <x v="32"/>
    <x v="0"/>
    <n v="17249"/>
    <n v="15437"/>
    <n v="1812"/>
    <n v="0.10504956809090382"/>
    <s v="Poor"/>
    <n v="1379.92"/>
    <n v="2185564"/>
  </r>
  <r>
    <n v="132"/>
    <x v="131"/>
    <x v="2"/>
    <x v="0"/>
    <x v="3"/>
    <x v="21"/>
    <x v="0"/>
    <n v="11825"/>
    <n v="10476"/>
    <n v="1349"/>
    <n v="0.11408033826638478"/>
    <s v="Poor"/>
    <n v="946"/>
    <n v="2197389"/>
  </r>
  <r>
    <n v="133"/>
    <x v="132"/>
    <x v="3"/>
    <x v="1"/>
    <x v="4"/>
    <x v="17"/>
    <x v="2"/>
    <n v="17610"/>
    <n v="12853"/>
    <n v="4757"/>
    <n v="0.2701306076093129"/>
    <s v="Poor"/>
    <n v="880.5"/>
    <n v="2214999"/>
  </r>
  <r>
    <n v="134"/>
    <x v="133"/>
    <x v="0"/>
    <x v="0"/>
    <x v="1"/>
    <x v="39"/>
    <x v="3"/>
    <n v="13456"/>
    <n v="8137"/>
    <n v="5319"/>
    <n v="0.39528834720570749"/>
    <s v="Good"/>
    <n v="1076.48"/>
    <n v="2228455"/>
  </r>
  <r>
    <n v="135"/>
    <x v="134"/>
    <x v="0"/>
    <x v="0"/>
    <x v="3"/>
    <x v="22"/>
    <x v="1"/>
    <n v="21343"/>
    <n v="13101"/>
    <n v="8242"/>
    <n v="0.38616876727732746"/>
    <s v="Good"/>
    <n v="1707.44"/>
    <n v="2249798"/>
  </r>
  <r>
    <n v="136"/>
    <x v="135"/>
    <x v="2"/>
    <x v="0"/>
    <x v="3"/>
    <x v="38"/>
    <x v="3"/>
    <n v="16315"/>
    <n v="14531"/>
    <n v="1784"/>
    <n v="0.10934722647870058"/>
    <s v="Poor"/>
    <n v="1305.2"/>
    <n v="2266113"/>
  </r>
  <r>
    <n v="137"/>
    <x v="136"/>
    <x v="1"/>
    <x v="1"/>
    <x v="4"/>
    <x v="33"/>
    <x v="2"/>
    <n v="21957"/>
    <n v="13992"/>
    <n v="7965"/>
    <n v="0.36275447465500754"/>
    <s v="Good"/>
    <n v="1097.8500000000001"/>
    <n v="2288070"/>
  </r>
  <r>
    <n v="138"/>
    <x v="137"/>
    <x v="2"/>
    <x v="0"/>
    <x v="7"/>
    <x v="11"/>
    <x v="2"/>
    <n v="7509"/>
    <n v="5216"/>
    <n v="2293"/>
    <n v="0.30536689306165932"/>
    <s v="Poor"/>
    <n v="600.72"/>
    <n v="2295579"/>
  </r>
  <r>
    <n v="139"/>
    <x v="138"/>
    <x v="0"/>
    <x v="0"/>
    <x v="0"/>
    <x v="44"/>
    <x v="4"/>
    <n v="28336"/>
    <n v="17187"/>
    <n v="11149"/>
    <n v="0.39345708639186899"/>
    <s v="Good"/>
    <n v="2266.88"/>
    <n v="2323915"/>
  </r>
  <r>
    <n v="140"/>
    <x v="139"/>
    <x v="1"/>
    <x v="0"/>
    <x v="7"/>
    <x v="45"/>
    <x v="2"/>
    <n v="7967"/>
    <n v="6547"/>
    <n v="1420"/>
    <n v="0.17823522028367014"/>
    <s v="Poor"/>
    <n v="637.36"/>
    <n v="2331882"/>
  </r>
  <r>
    <n v="141"/>
    <x v="140"/>
    <x v="0"/>
    <x v="1"/>
    <x v="6"/>
    <x v="7"/>
    <x v="3"/>
    <n v="9266"/>
    <n v="7251"/>
    <n v="2015"/>
    <n v="0.2174616878912152"/>
    <s v="Poor"/>
    <n v="463.3"/>
    <n v="2341148"/>
  </r>
  <r>
    <n v="142"/>
    <x v="141"/>
    <x v="2"/>
    <x v="1"/>
    <x v="4"/>
    <x v="15"/>
    <x v="2"/>
    <n v="18541"/>
    <n v="12433"/>
    <n v="6108"/>
    <n v="0.32943206946766623"/>
    <s v="Good"/>
    <n v="927.05000000000007"/>
    <n v="2359689"/>
  </r>
  <r>
    <n v="143"/>
    <x v="142"/>
    <x v="0"/>
    <x v="1"/>
    <x v="6"/>
    <x v="46"/>
    <x v="1"/>
    <n v="12290"/>
    <n v="8375"/>
    <n v="3915"/>
    <n v="0.31855166802278273"/>
    <s v="Poor"/>
    <n v="614.5"/>
    <n v="2371979"/>
  </r>
  <r>
    <n v="144"/>
    <x v="143"/>
    <x v="1"/>
    <x v="0"/>
    <x v="1"/>
    <x v="29"/>
    <x v="1"/>
    <n v="29811"/>
    <n v="23913"/>
    <n v="5898"/>
    <n v="0.19784643252490691"/>
    <s v="Good"/>
    <n v="2384.88"/>
    <n v="2401790"/>
  </r>
  <r>
    <n v="145"/>
    <x v="144"/>
    <x v="2"/>
    <x v="1"/>
    <x v="6"/>
    <x v="22"/>
    <x v="3"/>
    <n v="3743"/>
    <n v="2347"/>
    <n v="1396"/>
    <n v="0.37296286401282391"/>
    <s v="Poor"/>
    <n v="187.15"/>
    <n v="2405533"/>
  </r>
  <r>
    <n v="146"/>
    <x v="145"/>
    <x v="1"/>
    <x v="0"/>
    <x v="0"/>
    <x v="47"/>
    <x v="3"/>
    <n v="12655"/>
    <n v="10478"/>
    <n v="2177"/>
    <n v="0.17202686685104701"/>
    <s v="Poor"/>
    <n v="1012.4"/>
    <n v="2418188"/>
  </r>
  <r>
    <n v="147"/>
    <x v="146"/>
    <x v="0"/>
    <x v="1"/>
    <x v="4"/>
    <x v="25"/>
    <x v="1"/>
    <n v="19492"/>
    <n v="15052"/>
    <n v="4440"/>
    <n v="0.22778575825979888"/>
    <s v="Poor"/>
    <n v="974.6"/>
    <n v="2437680"/>
  </r>
  <r>
    <n v="148"/>
    <x v="147"/>
    <x v="0"/>
    <x v="1"/>
    <x v="2"/>
    <x v="48"/>
    <x v="1"/>
    <n v="23823"/>
    <n v="15138"/>
    <n v="8685"/>
    <n v="0.36456365697015491"/>
    <s v="Good"/>
    <n v="1191.1500000000001"/>
    <n v="2461503"/>
  </r>
  <r>
    <n v="149"/>
    <x v="148"/>
    <x v="3"/>
    <x v="1"/>
    <x v="6"/>
    <x v="37"/>
    <x v="0"/>
    <n v="12233"/>
    <n v="8248"/>
    <n v="3985"/>
    <n v="0.32575819504618653"/>
    <s v="Poor"/>
    <n v="611.65"/>
    <n v="2473736"/>
  </r>
  <r>
    <n v="150"/>
    <x v="149"/>
    <x v="2"/>
    <x v="0"/>
    <x v="7"/>
    <x v="30"/>
    <x v="2"/>
    <n v="3003"/>
    <n v="2190"/>
    <n v="813"/>
    <n v="0.27072927072927072"/>
    <s v="Poor"/>
    <n v="240.24"/>
    <n v="2476739"/>
  </r>
  <r>
    <n v="151"/>
    <x v="150"/>
    <x v="3"/>
    <x v="1"/>
    <x v="4"/>
    <x v="16"/>
    <x v="0"/>
    <n v="21525"/>
    <n v="15170"/>
    <n v="6355"/>
    <n v="0.29523809523809524"/>
    <s v="Good"/>
    <n v="1076.25"/>
    <n v="2498264"/>
  </r>
  <r>
    <n v="152"/>
    <x v="151"/>
    <x v="0"/>
    <x v="0"/>
    <x v="0"/>
    <x v="0"/>
    <x v="4"/>
    <n v="21312"/>
    <n v="18369"/>
    <n v="2943"/>
    <n v="0.13809121621621623"/>
    <s v="Poor"/>
    <n v="1704.96"/>
    <n v="2519576"/>
  </r>
  <r>
    <n v="153"/>
    <x v="152"/>
    <x v="0"/>
    <x v="1"/>
    <x v="5"/>
    <x v="47"/>
    <x v="4"/>
    <n v="8413"/>
    <n v="6580"/>
    <n v="1833"/>
    <n v="0.21787709497206703"/>
    <s v="Poor"/>
    <n v="420.65000000000003"/>
    <n v="2527989"/>
  </r>
  <r>
    <n v="154"/>
    <x v="153"/>
    <x v="2"/>
    <x v="0"/>
    <x v="3"/>
    <x v="2"/>
    <x v="3"/>
    <n v="4693"/>
    <n v="3566"/>
    <n v="1127"/>
    <n v="0.24014489665459193"/>
    <s v="Poor"/>
    <n v="375.44"/>
    <n v="2532682"/>
  </r>
  <r>
    <n v="155"/>
    <x v="154"/>
    <x v="0"/>
    <x v="1"/>
    <x v="6"/>
    <x v="4"/>
    <x v="4"/>
    <n v="24941"/>
    <n v="19960"/>
    <n v="4981"/>
    <n v="0.19971131871216069"/>
    <s v="Poor"/>
    <n v="1247.0500000000002"/>
    <n v="2557623"/>
  </r>
  <r>
    <n v="156"/>
    <x v="155"/>
    <x v="0"/>
    <x v="1"/>
    <x v="2"/>
    <x v="8"/>
    <x v="3"/>
    <n v="22511"/>
    <n v="16616"/>
    <n v="5895"/>
    <n v="0.26187197370174581"/>
    <s v="Good"/>
    <n v="1125.55"/>
    <n v="2580134"/>
  </r>
  <r>
    <n v="157"/>
    <x v="156"/>
    <x v="2"/>
    <x v="0"/>
    <x v="7"/>
    <x v="11"/>
    <x v="4"/>
    <n v="13946"/>
    <n v="12354"/>
    <n v="1592"/>
    <n v="0.11415459630001434"/>
    <s v="Poor"/>
    <n v="1115.68"/>
    <n v="2594080"/>
  </r>
  <r>
    <n v="158"/>
    <x v="157"/>
    <x v="0"/>
    <x v="0"/>
    <x v="3"/>
    <x v="35"/>
    <x v="1"/>
    <n v="21242"/>
    <n v="14098"/>
    <n v="7144"/>
    <n v="0.3363148479427549"/>
    <s v="Good"/>
    <n v="1699.3600000000001"/>
    <n v="2615322"/>
  </r>
  <r>
    <n v="159"/>
    <x v="158"/>
    <x v="0"/>
    <x v="1"/>
    <x v="6"/>
    <x v="8"/>
    <x v="2"/>
    <n v="22822"/>
    <n v="18664"/>
    <n v="4158"/>
    <n v="0.18219262115502585"/>
    <s v="Poor"/>
    <n v="1141.1000000000001"/>
    <n v="2638144"/>
  </r>
  <r>
    <n v="160"/>
    <x v="159"/>
    <x v="1"/>
    <x v="0"/>
    <x v="0"/>
    <x v="36"/>
    <x v="1"/>
    <n v="14825"/>
    <n v="10070"/>
    <n v="4755"/>
    <n v="0.32074198988195618"/>
    <s v="Poor"/>
    <n v="1186"/>
    <n v="2652969"/>
  </r>
  <r>
    <n v="161"/>
    <x v="160"/>
    <x v="0"/>
    <x v="1"/>
    <x v="5"/>
    <x v="3"/>
    <x v="2"/>
    <n v="10106"/>
    <n v="9039"/>
    <n v="1067"/>
    <n v="0.10558084306352662"/>
    <s v="Poor"/>
    <n v="505.3"/>
    <n v="2663075"/>
  </r>
  <r>
    <n v="162"/>
    <x v="161"/>
    <x v="2"/>
    <x v="1"/>
    <x v="5"/>
    <x v="7"/>
    <x v="3"/>
    <n v="24181"/>
    <n v="17254"/>
    <n v="6927"/>
    <n v="0.28646457962863403"/>
    <s v="Good"/>
    <n v="1209.05"/>
    <n v="2687256"/>
  </r>
  <r>
    <n v="163"/>
    <x v="162"/>
    <x v="3"/>
    <x v="0"/>
    <x v="0"/>
    <x v="45"/>
    <x v="1"/>
    <n v="8789"/>
    <n v="6768"/>
    <n v="2021"/>
    <n v="0.22994652406417113"/>
    <s v="Poor"/>
    <n v="703.12"/>
    <n v="2696045"/>
  </r>
  <r>
    <n v="164"/>
    <x v="163"/>
    <x v="2"/>
    <x v="0"/>
    <x v="7"/>
    <x v="28"/>
    <x v="1"/>
    <n v="17609"/>
    <n v="13022"/>
    <n v="4587"/>
    <n v="0.26049179396899313"/>
    <s v="Poor"/>
    <n v="1408.72"/>
    <n v="2713654"/>
  </r>
  <r>
    <n v="165"/>
    <x v="164"/>
    <x v="0"/>
    <x v="0"/>
    <x v="7"/>
    <x v="44"/>
    <x v="1"/>
    <n v="12827"/>
    <n v="10421"/>
    <n v="2406"/>
    <n v="0.18757308801746317"/>
    <s v="Poor"/>
    <n v="1026.1600000000001"/>
    <n v="2726481"/>
  </r>
  <r>
    <n v="166"/>
    <x v="165"/>
    <x v="3"/>
    <x v="0"/>
    <x v="0"/>
    <x v="14"/>
    <x v="0"/>
    <n v="7741"/>
    <n v="6783"/>
    <n v="958"/>
    <n v="0.12375662059165482"/>
    <s v="Poor"/>
    <n v="619.28"/>
    <n v="2734222"/>
  </r>
  <r>
    <n v="167"/>
    <x v="166"/>
    <x v="3"/>
    <x v="1"/>
    <x v="5"/>
    <x v="17"/>
    <x v="1"/>
    <n v="27959"/>
    <n v="23794"/>
    <n v="4165"/>
    <n v="0.14896813190743588"/>
    <s v="Poor"/>
    <n v="1397.95"/>
    <n v="2762181"/>
  </r>
  <r>
    <n v="168"/>
    <x v="167"/>
    <x v="0"/>
    <x v="0"/>
    <x v="1"/>
    <x v="45"/>
    <x v="0"/>
    <n v="9260"/>
    <n v="8117"/>
    <n v="1143"/>
    <n v="0.12343412526997841"/>
    <s v="Poor"/>
    <n v="740.80000000000007"/>
    <n v="2771441"/>
  </r>
  <r>
    <n v="169"/>
    <x v="168"/>
    <x v="3"/>
    <x v="1"/>
    <x v="6"/>
    <x v="31"/>
    <x v="0"/>
    <n v="23426"/>
    <n v="18470"/>
    <n v="4956"/>
    <n v="0.21155980534448904"/>
    <s v="Poor"/>
    <n v="1171.3"/>
    <n v="2794867"/>
  </r>
  <r>
    <n v="170"/>
    <x v="169"/>
    <x v="2"/>
    <x v="0"/>
    <x v="0"/>
    <x v="41"/>
    <x v="2"/>
    <n v="9672"/>
    <n v="7495"/>
    <n v="2177"/>
    <n v="0.22508271298593879"/>
    <s v="Poor"/>
    <n v="773.76"/>
    <n v="2804539"/>
  </r>
  <r>
    <n v="171"/>
    <x v="170"/>
    <x v="1"/>
    <x v="0"/>
    <x v="7"/>
    <x v="39"/>
    <x v="4"/>
    <n v="15655"/>
    <n v="12741"/>
    <n v="2914"/>
    <n v="0.18613861386138614"/>
    <s v="Poor"/>
    <n v="1252.4000000000001"/>
    <n v="2820194"/>
  </r>
  <r>
    <n v="172"/>
    <x v="171"/>
    <x v="1"/>
    <x v="0"/>
    <x v="3"/>
    <x v="7"/>
    <x v="3"/>
    <n v="4896"/>
    <n v="3209"/>
    <n v="1687"/>
    <n v="0.34456699346405228"/>
    <s v="Poor"/>
    <n v="391.68"/>
    <n v="2825090"/>
  </r>
  <r>
    <n v="173"/>
    <x v="172"/>
    <x v="2"/>
    <x v="0"/>
    <x v="1"/>
    <x v="49"/>
    <x v="0"/>
    <n v="26624"/>
    <n v="22645"/>
    <n v="3979"/>
    <n v="0.14945162259615385"/>
    <s v="Poor"/>
    <n v="2129.92"/>
    <n v="2851714"/>
  </r>
  <r>
    <n v="174"/>
    <x v="173"/>
    <x v="0"/>
    <x v="0"/>
    <x v="0"/>
    <x v="22"/>
    <x v="2"/>
    <n v="12390"/>
    <n v="7893"/>
    <n v="4497"/>
    <n v="0.36295399515738497"/>
    <s v="Poor"/>
    <n v="991.2"/>
    <n v="2864104"/>
  </r>
  <r>
    <n v="175"/>
    <x v="174"/>
    <x v="3"/>
    <x v="1"/>
    <x v="6"/>
    <x v="14"/>
    <x v="1"/>
    <n v="16540"/>
    <n v="13760"/>
    <n v="2780"/>
    <n v="0.16807738814993953"/>
    <s v="Poor"/>
    <n v="827"/>
    <n v="2880644"/>
  </r>
  <r>
    <n v="176"/>
    <x v="175"/>
    <x v="0"/>
    <x v="0"/>
    <x v="7"/>
    <x v="3"/>
    <x v="0"/>
    <n v="10981"/>
    <n v="7782"/>
    <n v="3199"/>
    <n v="0.29132137328112195"/>
    <s v="Poor"/>
    <n v="878.48"/>
    <n v="2891625"/>
  </r>
  <r>
    <n v="177"/>
    <x v="176"/>
    <x v="3"/>
    <x v="0"/>
    <x v="3"/>
    <x v="29"/>
    <x v="0"/>
    <n v="11754"/>
    <n v="8066"/>
    <n v="3688"/>
    <n v="0.31376552662923263"/>
    <s v="Poor"/>
    <n v="940.32"/>
    <n v="2903379"/>
  </r>
  <r>
    <n v="178"/>
    <x v="177"/>
    <x v="3"/>
    <x v="0"/>
    <x v="3"/>
    <x v="7"/>
    <x v="2"/>
    <n v="19787"/>
    <n v="16448"/>
    <n v="3339"/>
    <n v="0.16874715722444028"/>
    <s v="Poor"/>
    <n v="1582.96"/>
    <n v="2923166"/>
  </r>
  <r>
    <n v="179"/>
    <x v="178"/>
    <x v="1"/>
    <x v="0"/>
    <x v="7"/>
    <x v="11"/>
    <x v="2"/>
    <n v="7183"/>
    <n v="6189"/>
    <n v="994"/>
    <n v="0.13838229152164833"/>
    <s v="Poor"/>
    <n v="574.64"/>
    <n v="2930349"/>
  </r>
  <r>
    <n v="180"/>
    <x v="179"/>
    <x v="1"/>
    <x v="0"/>
    <x v="1"/>
    <x v="31"/>
    <x v="4"/>
    <n v="9341"/>
    <n v="8029"/>
    <n v="1312"/>
    <n v="0.14045605395567926"/>
    <s v="Poor"/>
    <n v="747.28"/>
    <n v="2939690"/>
  </r>
  <r>
    <n v="181"/>
    <x v="180"/>
    <x v="2"/>
    <x v="0"/>
    <x v="3"/>
    <x v="43"/>
    <x v="2"/>
    <n v="17968"/>
    <n v="13010"/>
    <n v="4958"/>
    <n v="0.27593499554764023"/>
    <s v="Poor"/>
    <n v="1437.44"/>
    <n v="2957658"/>
  </r>
  <r>
    <n v="182"/>
    <x v="181"/>
    <x v="3"/>
    <x v="1"/>
    <x v="4"/>
    <x v="43"/>
    <x v="0"/>
    <n v="13825"/>
    <n v="8726"/>
    <n v="5099"/>
    <n v="0.36882459312839061"/>
    <s v="Good"/>
    <n v="691.25"/>
    <n v="2971483"/>
  </r>
  <r>
    <n v="183"/>
    <x v="182"/>
    <x v="1"/>
    <x v="0"/>
    <x v="7"/>
    <x v="25"/>
    <x v="1"/>
    <n v="12841"/>
    <n v="11391"/>
    <n v="1450"/>
    <n v="0.11291955455182619"/>
    <s v="Poor"/>
    <n v="1027.28"/>
    <n v="2984324"/>
  </r>
  <r>
    <n v="184"/>
    <x v="183"/>
    <x v="1"/>
    <x v="0"/>
    <x v="7"/>
    <x v="6"/>
    <x v="2"/>
    <n v="15573"/>
    <n v="9363"/>
    <n v="6210"/>
    <n v="0.39876709689847811"/>
    <s v="Good"/>
    <n v="1245.8399999999999"/>
    <n v="2999897"/>
  </r>
  <r>
    <n v="185"/>
    <x v="184"/>
    <x v="2"/>
    <x v="1"/>
    <x v="5"/>
    <x v="10"/>
    <x v="1"/>
    <n v="14137"/>
    <n v="11432"/>
    <n v="2705"/>
    <n v="0.19134186885477825"/>
    <s v="Poor"/>
    <n v="706.85"/>
    <n v="3014034"/>
  </r>
  <r>
    <n v="186"/>
    <x v="185"/>
    <x v="2"/>
    <x v="0"/>
    <x v="7"/>
    <x v="26"/>
    <x v="3"/>
    <n v="10389"/>
    <n v="8448"/>
    <n v="1941"/>
    <n v="0.1868322263933006"/>
    <s v="Poor"/>
    <n v="831.12"/>
    <n v="3024423"/>
  </r>
  <r>
    <n v="187"/>
    <x v="186"/>
    <x v="1"/>
    <x v="0"/>
    <x v="7"/>
    <x v="23"/>
    <x v="2"/>
    <n v="17123"/>
    <n v="12494"/>
    <n v="4629"/>
    <n v="0.27033814168078024"/>
    <s v="Poor"/>
    <n v="1369.84"/>
    <n v="3041546"/>
  </r>
  <r>
    <n v="188"/>
    <x v="187"/>
    <x v="3"/>
    <x v="1"/>
    <x v="2"/>
    <x v="29"/>
    <x v="1"/>
    <n v="23457"/>
    <n v="20867"/>
    <n v="2590"/>
    <n v="0.11041480155177559"/>
    <s v="Poor"/>
    <n v="1172.8500000000001"/>
    <n v="3065003"/>
  </r>
  <r>
    <n v="189"/>
    <x v="188"/>
    <x v="2"/>
    <x v="1"/>
    <x v="2"/>
    <x v="40"/>
    <x v="0"/>
    <n v="12542"/>
    <n v="10524"/>
    <n v="2018"/>
    <n v="0.16089937808961888"/>
    <s v="Poor"/>
    <n v="627.1"/>
    <n v="3077545"/>
  </r>
  <r>
    <n v="190"/>
    <x v="189"/>
    <x v="1"/>
    <x v="1"/>
    <x v="4"/>
    <x v="35"/>
    <x v="4"/>
    <n v="11297"/>
    <n v="9166"/>
    <n v="2131"/>
    <n v="0.18863415065946712"/>
    <s v="Poor"/>
    <n v="564.85"/>
    <n v="3088842"/>
  </r>
  <r>
    <n v="191"/>
    <x v="190"/>
    <x v="0"/>
    <x v="1"/>
    <x v="4"/>
    <x v="43"/>
    <x v="3"/>
    <n v="20988"/>
    <n v="14469"/>
    <n v="6519"/>
    <n v="0.31060606060606061"/>
    <s v="Good"/>
    <n v="1049.4000000000001"/>
    <n v="3109830"/>
  </r>
  <r>
    <n v="192"/>
    <x v="191"/>
    <x v="0"/>
    <x v="1"/>
    <x v="5"/>
    <x v="49"/>
    <x v="0"/>
    <n v="22125"/>
    <n v="18956"/>
    <n v="3169"/>
    <n v="0.14323163841807909"/>
    <s v="Poor"/>
    <n v="1106.25"/>
    <n v="3131955"/>
  </r>
  <r>
    <n v="193"/>
    <x v="192"/>
    <x v="1"/>
    <x v="1"/>
    <x v="5"/>
    <x v="26"/>
    <x v="2"/>
    <n v="24547"/>
    <n v="22049"/>
    <n v="2498"/>
    <n v="0.10176396300973642"/>
    <s v="Poor"/>
    <n v="1227.3500000000001"/>
    <n v="3156502"/>
  </r>
  <r>
    <n v="194"/>
    <x v="193"/>
    <x v="0"/>
    <x v="1"/>
    <x v="5"/>
    <x v="16"/>
    <x v="3"/>
    <n v="24450"/>
    <n v="15331"/>
    <n v="9119"/>
    <n v="0.37296523517382413"/>
    <s v="Good"/>
    <n v="1222.5"/>
    <n v="3180952"/>
  </r>
  <r>
    <n v="195"/>
    <x v="194"/>
    <x v="1"/>
    <x v="0"/>
    <x v="0"/>
    <x v="19"/>
    <x v="2"/>
    <n v="6284"/>
    <n v="4993"/>
    <n v="1291"/>
    <n v="0.20544239338001274"/>
    <s v="Poor"/>
    <n v="502.72"/>
    <n v="3187236"/>
  </r>
  <r>
    <n v="196"/>
    <x v="195"/>
    <x v="1"/>
    <x v="1"/>
    <x v="2"/>
    <x v="21"/>
    <x v="3"/>
    <n v="12554"/>
    <n v="7624"/>
    <n v="4930"/>
    <n v="0.39270352079018639"/>
    <s v="Poor"/>
    <n v="627.70000000000005"/>
    <n v="3199790"/>
  </r>
  <r>
    <n v="197"/>
    <x v="196"/>
    <x v="0"/>
    <x v="0"/>
    <x v="7"/>
    <x v="45"/>
    <x v="4"/>
    <n v="3970"/>
    <n v="3382"/>
    <n v="588"/>
    <n v="0.14811083123425692"/>
    <s v="Poor"/>
    <n v="317.60000000000002"/>
    <n v="3203760"/>
  </r>
  <r>
    <n v="198"/>
    <x v="197"/>
    <x v="2"/>
    <x v="0"/>
    <x v="7"/>
    <x v="45"/>
    <x v="4"/>
    <n v="7069"/>
    <n v="4510"/>
    <n v="2559"/>
    <n v="0.36200311217994058"/>
    <s v="Poor"/>
    <n v="565.52"/>
    <n v="3210829"/>
  </r>
  <r>
    <n v="199"/>
    <x v="198"/>
    <x v="1"/>
    <x v="1"/>
    <x v="2"/>
    <x v="7"/>
    <x v="4"/>
    <n v="17934"/>
    <n v="14381"/>
    <n v="3553"/>
    <n v="0.19811531169844987"/>
    <s v="Poor"/>
    <n v="896.7"/>
    <n v="3228763"/>
  </r>
  <r>
    <n v="200"/>
    <x v="199"/>
    <x v="3"/>
    <x v="1"/>
    <x v="5"/>
    <x v="15"/>
    <x v="4"/>
    <n v="6437"/>
    <n v="4292"/>
    <n v="2145"/>
    <n v="0.33322976541867327"/>
    <s v="Poor"/>
    <n v="321.85000000000002"/>
    <n v="3235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C19EF-AD85-4F2D-B97E-C20E3C67395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287"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dataField="1" multipleItemSelectionAllowed="1" showAll="0"/>
    <pivotField showAll="0"/>
    <pivotField showAll="0"/>
    <pivotField showAll="0"/>
    <pivotField showAll="0"/>
    <pivotField showAll="0"/>
    <pivotField showAll="0"/>
    <pivotField axis="axisRow" showAll="0" sortType="ascending">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14"/>
  </rowFields>
  <rowItems count="201">
    <i>
      <x v="153"/>
    </i>
    <i>
      <x v="96"/>
    </i>
    <i>
      <x v="6"/>
    </i>
    <i>
      <x v="114"/>
    </i>
    <i>
      <x v="148"/>
    </i>
    <i>
      <x v="200"/>
    </i>
    <i>
      <x v="72"/>
    </i>
    <i>
      <x v="119"/>
    </i>
    <i>
      <x v="42"/>
    </i>
    <i>
      <x v="128"/>
    </i>
    <i>
      <x v="157"/>
    </i>
    <i>
      <x v="29"/>
    </i>
    <i>
      <x v="175"/>
    </i>
    <i>
      <x v="49"/>
    </i>
    <i>
      <x v="10"/>
    </i>
    <i>
      <x v="95"/>
    </i>
    <i>
      <x v="66"/>
    </i>
    <i>
      <x v="79"/>
    </i>
    <i>
      <x v="39"/>
    </i>
    <i>
      <x v="121"/>
    </i>
    <i>
      <x v="104"/>
    </i>
    <i>
      <x v="3"/>
    </i>
    <i>
      <x v="80"/>
    </i>
    <i>
      <x v="53"/>
    </i>
    <i>
      <x v="198"/>
    </i>
    <i>
      <x v="77"/>
    </i>
    <i>
      <x v="203"/>
    </i>
    <i>
      <x v="86"/>
    </i>
    <i>
      <x v="17"/>
    </i>
    <i>
      <x v="16"/>
    </i>
    <i>
      <x v="201"/>
    </i>
    <i>
      <x v="182"/>
    </i>
    <i>
      <x v="141"/>
    </i>
    <i>
      <x v="169"/>
    </i>
    <i>
      <x v="129"/>
    </i>
    <i>
      <x v="117"/>
    </i>
    <i>
      <x v="143"/>
    </i>
    <i>
      <x v="5"/>
    </i>
    <i>
      <x v="21"/>
    </i>
    <i>
      <x v="120"/>
    </i>
    <i>
      <x v="156"/>
    </i>
    <i>
      <x v="166"/>
    </i>
    <i>
      <x v="108"/>
    </i>
    <i>
      <x v="47"/>
    </i>
    <i>
      <x v="73"/>
    </i>
    <i>
      <x v="14"/>
    </i>
    <i>
      <x v="171"/>
    </i>
    <i>
      <x v="144"/>
    </i>
    <i>
      <x v="183"/>
    </i>
    <i>
      <x v="173"/>
    </i>
    <i>
      <x v="164"/>
    </i>
    <i>
      <x v="35"/>
    </i>
    <i>
      <x v="189"/>
    </i>
    <i>
      <x v="116"/>
    </i>
    <i>
      <x v="179"/>
    </i>
    <i>
      <x v="34"/>
    </i>
    <i>
      <x v="193"/>
    </i>
    <i>
      <x v="110"/>
    </i>
    <i>
      <x v="180"/>
    </i>
    <i>
      <x v="135"/>
    </i>
    <i>
      <x v="54"/>
    </i>
    <i>
      <x v="112"/>
    </i>
    <i>
      <x v="152"/>
    </i>
    <i>
      <x v="82"/>
    </i>
    <i>
      <x v="146"/>
    </i>
    <i>
      <x v="38"/>
    </i>
    <i>
      <x v="177"/>
    </i>
    <i>
      <x v="192"/>
    </i>
    <i>
      <x v="199"/>
    </i>
    <i>
      <x v="149"/>
    </i>
    <i>
      <x v="24"/>
    </i>
    <i>
      <x v="99"/>
    </i>
    <i>
      <x v="168"/>
    </i>
    <i>
      <x v="186"/>
    </i>
    <i>
      <x v="81"/>
    </i>
    <i>
      <x v="46"/>
    </i>
    <i>
      <x v="25"/>
    </i>
    <i>
      <x v="23"/>
    </i>
    <i>
      <x v="113"/>
    </i>
    <i>
      <x v="137"/>
    </i>
    <i>
      <x v="4"/>
    </i>
    <i>
      <x v="124"/>
    </i>
    <i>
      <x v="87"/>
    </i>
    <i>
      <x v="7"/>
    </i>
    <i>
      <x v="50"/>
    </i>
    <i>
      <x v="36"/>
    </i>
    <i>
      <x v="185"/>
    </i>
    <i>
      <x v="160"/>
    </i>
    <i>
      <x v="188"/>
    </i>
    <i>
      <x v="18"/>
    </i>
    <i>
      <x v="32"/>
    </i>
    <i>
      <x v="163"/>
    </i>
    <i>
      <x v="68"/>
    </i>
    <i>
      <x v="187"/>
    </i>
    <i>
      <x v="174"/>
    </i>
    <i>
      <x v="89"/>
    </i>
    <i>
      <x v="139"/>
    </i>
    <i>
      <x v="84"/>
    </i>
    <i>
      <x v="178"/>
    </i>
    <i>
      <x v="9"/>
    </i>
    <i>
      <x v="88"/>
    </i>
    <i>
      <x v="97"/>
    </i>
    <i>
      <x v="65"/>
    </i>
    <i>
      <x v="45"/>
    </i>
    <i>
      <x v="78"/>
    </i>
    <i>
      <x v="190"/>
    </i>
    <i>
      <x v="100"/>
    </i>
    <i>
      <x v="134"/>
    </i>
    <i>
      <x v="22"/>
    </i>
    <i>
      <x v="57"/>
    </i>
    <i>
      <x v="8"/>
    </i>
    <i>
      <x v="167"/>
    </i>
    <i>
      <x v="136"/>
    </i>
    <i>
      <x v="64"/>
    </i>
    <i>
      <x v="75"/>
    </i>
    <i>
      <x v="56"/>
    </i>
    <i>
      <x v="106"/>
    </i>
    <i>
      <x v="202"/>
    </i>
    <i>
      <x v="184"/>
    </i>
    <i>
      <x v="61"/>
    </i>
    <i>
      <x v="43"/>
    </i>
    <i>
      <x v="59"/>
    </i>
    <i>
      <x v="109"/>
    </i>
    <i>
      <x v="145"/>
    </i>
    <i>
      <x v="107"/>
    </i>
    <i>
      <x v="123"/>
    </i>
    <i>
      <x v="101"/>
    </i>
    <i>
      <x v="133"/>
    </i>
    <i>
      <x v="31"/>
    </i>
    <i>
      <x v="150"/>
    </i>
    <i>
      <x v="11"/>
    </i>
    <i>
      <x v="102"/>
    </i>
    <i>
      <x v="181"/>
    </i>
    <i>
      <x v="91"/>
    </i>
    <i>
      <x v="37"/>
    </i>
    <i>
      <x v="71"/>
    </i>
    <i>
      <x v="127"/>
    </i>
    <i>
      <x v="27"/>
    </i>
    <i>
      <x v="194"/>
    </i>
    <i>
      <x v="94"/>
    </i>
    <i>
      <x v="161"/>
    </i>
    <i>
      <x v="155"/>
    </i>
    <i>
      <x v="138"/>
    </i>
    <i>
      <x v="63"/>
    </i>
    <i>
      <x v="154"/>
    </i>
    <i>
      <x v="19"/>
    </i>
    <i>
      <x v="140"/>
    </i>
    <i>
      <x v="195"/>
    </i>
    <i>
      <x v="105"/>
    </i>
    <i>
      <x v="55"/>
    </i>
    <i>
      <x v="28"/>
    </i>
    <i>
      <x v="159"/>
    </i>
    <i>
      <x v="44"/>
    </i>
    <i>
      <x v="132"/>
    </i>
    <i>
      <x v="93"/>
    </i>
    <i>
      <x v="126"/>
    </i>
    <i>
      <x v="162"/>
    </i>
    <i>
      <x v="70"/>
    </i>
    <i>
      <x v="172"/>
    </i>
    <i>
      <x v="191"/>
    </i>
    <i>
      <x v="40"/>
    </i>
    <i>
      <x v="41"/>
    </i>
    <i>
      <x v="151"/>
    </i>
    <i>
      <x v="90"/>
    </i>
    <i>
      <x v="122"/>
    </i>
    <i>
      <x v="165"/>
    </i>
    <i>
      <x v="197"/>
    </i>
    <i>
      <x v="196"/>
    </i>
    <i>
      <x v="52"/>
    </i>
    <i>
      <x v="158"/>
    </i>
    <i>
      <x v="85"/>
    </i>
    <i>
      <x v="103"/>
    </i>
    <i>
      <x v="98"/>
    </i>
    <i>
      <x v="26"/>
    </i>
    <i>
      <x v="76"/>
    </i>
    <i>
      <x v="58"/>
    </i>
    <i>
      <x v="83"/>
    </i>
    <i>
      <x v="176"/>
    </i>
    <i>
      <x v="30"/>
    </i>
    <i>
      <x v="48"/>
    </i>
    <i>
      <x v="115"/>
    </i>
    <i>
      <x v="15"/>
    </i>
    <i>
      <x v="125"/>
    </i>
    <i>
      <x v="20"/>
    </i>
    <i>
      <x v="118"/>
    </i>
    <i>
      <x v="62"/>
    </i>
    <i>
      <x v="13"/>
    </i>
    <i>
      <x v="170"/>
    </i>
    <i>
      <x v="33"/>
    </i>
    <i>
      <x v="69"/>
    </i>
    <i>
      <x v="111"/>
    </i>
    <i>
      <x v="142"/>
    </i>
    <i>
      <x v="51"/>
    </i>
    <i>
      <x v="92"/>
    </i>
    <i>
      <x v="74"/>
    </i>
    <i>
      <x v="131"/>
    </i>
    <i>
      <x v="130"/>
    </i>
    <i>
      <x v="12"/>
    </i>
    <i>
      <x v="67"/>
    </i>
    <i>
      <x v="147"/>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BA4C6D-0462-4A8D-A585-D8A6C1939C99}" name="GrandTota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6"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axis="axisRow" showAll="0">
      <items count="10">
        <item x="3"/>
        <item x="7"/>
        <item x="1"/>
        <item x="5"/>
        <item x="4"/>
        <item x="2"/>
        <item x="0"/>
        <item x="6"/>
        <item m="1" x="8"/>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Profit"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E88B2-E4E7-4EEF-A18F-6E701B57AEAB}" name="MonthlySalesSumma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J3:K11"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showAll="0">
      <items count="10">
        <item x="3"/>
        <item x="7"/>
        <item x="1"/>
        <item x="5"/>
        <item x="4"/>
        <item x="2"/>
        <item x="0"/>
        <item x="6"/>
        <item m="1" x="8"/>
        <item t="default"/>
      </items>
    </pivotField>
    <pivotField showAll="0"/>
    <pivotField showAll="0">
      <items count="9">
        <item x="2"/>
        <item x="1"/>
        <item x="4"/>
        <item x="3"/>
        <item x="0"/>
        <item m="1" x="5"/>
        <item m="1" x="7"/>
        <item m="1" x="6"/>
        <item t="default"/>
      </items>
    </pivotField>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8">
    <i>
      <x v="1"/>
    </i>
    <i>
      <x v="2"/>
    </i>
    <i>
      <x v="3"/>
    </i>
    <i>
      <x v="4"/>
    </i>
    <i>
      <x v="5"/>
    </i>
    <i>
      <x v="6"/>
    </i>
    <i>
      <x v="7"/>
    </i>
    <i t="grand">
      <x/>
    </i>
  </rowItems>
  <colItems count="1">
    <i/>
  </colItems>
  <dataFields count="1">
    <dataField name="Sum of Sales" fld="7" baseField="0" baseItem="0"/>
  </dataFields>
  <chartFormats count="5">
    <chartFormat chart="8"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5" count="1" selected="0">
            <x v="2"/>
          </reference>
        </references>
      </pivotArea>
    </chartFormat>
    <chartFormat chart="19" format="6">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C8F2F6-B408-4084-B241-CF82707977E8}" name="salespersonRank"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8">
  <location ref="A33:B38" firstHeaderRow="1" firstDataRow="1" firstDataCol="1"/>
  <pivotFields count="3">
    <pivotField name="salespersonRank" axis="axisRow" showAll="0" sortType="ascending">
      <items count="6">
        <item x="0"/>
        <item x="4"/>
        <item x="2"/>
        <item x="1"/>
        <item x="3"/>
        <item t="default"/>
      </items>
    </pivotField>
    <pivotField showAll="0"/>
    <pivotField dataField="1" showAll="0"/>
  </pivotFields>
  <rowFields count="1">
    <field x="0"/>
  </rowFields>
  <rowItems count="5">
    <i>
      <x/>
    </i>
    <i>
      <x v="1"/>
    </i>
    <i>
      <x v="2"/>
    </i>
    <i>
      <x v="3"/>
    </i>
    <i>
      <x v="4"/>
    </i>
  </rowItems>
  <colItems count="1">
    <i/>
  </colItems>
  <dataFields count="1">
    <dataField name="Sum of Rank" fld="2"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2B31E-7C54-47BB-9BBD-AA7D9E7362C2}" name="DailysalesTren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J17:K218"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showAll="0">
      <items count="10">
        <item x="3"/>
        <item x="7"/>
        <item x="1"/>
        <item x="5"/>
        <item x="4"/>
        <item x="2"/>
        <item x="0"/>
        <item x="6"/>
        <item m="1" x="8"/>
        <item t="default"/>
      </items>
    </pivotField>
    <pivotField showAll="0"/>
    <pivotField showAll="0"/>
    <pivotField dataField="1"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201">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Sales" fld="7" baseField="0"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CC411F-3FA0-496F-B41B-9330A956C512}" name="Product_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3:E12"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axis="axisRow" showAll="0" sortType="descending">
      <items count="10">
        <item x="3"/>
        <item x="7"/>
        <item x="1"/>
        <item x="5"/>
        <item x="4"/>
        <item x="2"/>
        <item x="0"/>
        <item x="6"/>
        <item m="1" x="8"/>
        <item t="default"/>
      </items>
      <autoSortScope>
        <pivotArea dataOnly="0" outline="0" fieldPosition="0">
          <references count="1">
            <reference field="4294967294" count="1" selected="0">
              <x v="0"/>
            </reference>
          </references>
        </pivotArea>
      </autoSortScope>
    </pivotField>
    <pivotField showAll="0"/>
    <pivotField showAll="0">
      <items count="9">
        <item x="2"/>
        <item x="1"/>
        <item x="4"/>
        <item x="3"/>
        <item x="0"/>
        <item m="1" x="5"/>
        <item m="1" x="7"/>
        <item m="1" x="6"/>
        <item t="default"/>
      </items>
    </pivotField>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v="2"/>
    </i>
    <i>
      <x v="4"/>
    </i>
    <i>
      <x v="7"/>
    </i>
    <i>
      <x v="5"/>
    </i>
    <i>
      <x v="1"/>
    </i>
    <i>
      <x v="3"/>
    </i>
    <i>
      <x v="6"/>
    </i>
    <i>
      <x/>
    </i>
    <i t="grand">
      <x/>
    </i>
  </rowItems>
  <colItems count="1">
    <i/>
  </colItems>
  <dataFields count="1">
    <dataField name="Sum of Profit" fld="9" baseField="0" baseItem="0"/>
  </dataFields>
  <chartFormats count="4">
    <chartFormat chart="3"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1DB5CF-7CB6-4FFE-BF15-C7CC7CB95758}" name="Category/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G17:H20"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axis="axisRow" showAll="0">
      <items count="3">
        <item x="1"/>
        <item x="0"/>
        <item t="default"/>
      </items>
    </pivotField>
    <pivotField showAll="0">
      <items count="10">
        <item x="3"/>
        <item x="7"/>
        <item x="1"/>
        <item x="5"/>
        <item x="4"/>
        <item x="2"/>
        <item x="0"/>
        <item x="6"/>
        <item m="1" x="8"/>
        <item t="default"/>
      </items>
    </pivotField>
    <pivotField showAll="0"/>
    <pivotField showAll="0">
      <items count="9">
        <item x="2"/>
        <item x="1"/>
        <item x="4"/>
        <item x="3"/>
        <item x="0"/>
        <item m="1" x="5"/>
        <item m="1" x="7"/>
        <item m="1" x="6"/>
        <item t="default"/>
      </items>
    </pivotField>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Sales" fld="7" baseField="0" baseItem="0"/>
  </dataFields>
  <chartFormats count="9">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39" format="16" series="1">
      <pivotArea type="data" outline="0" fieldPosition="0">
        <references count="1">
          <reference field="4294967294" count="1" selected="0">
            <x v="0"/>
          </reference>
        </references>
      </pivotArea>
    </chartFormat>
    <chartFormat chart="39" format="17">
      <pivotArea type="data" outline="0" fieldPosition="0">
        <references count="2">
          <reference field="4294967294" count="1" selected="0">
            <x v="0"/>
          </reference>
          <reference field="3" count="1" selected="0">
            <x v="0"/>
          </reference>
        </references>
      </pivotArea>
    </chartFormat>
    <chartFormat chart="39" format="1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C4BFC2-65B6-4D2D-AF90-09F0847AE83B}" name="Tota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3:F37" firstHeaderRow="1" firstDataRow="1" firstDataCol="1"/>
  <pivotFields count="2">
    <pivotField axis="axisRow" showAll="0">
      <items count="5">
        <item x="1"/>
        <item x="3"/>
        <item x="2"/>
        <item x="0"/>
        <item t="default"/>
      </items>
    </pivotField>
    <pivotField dataField="1" showAll="0">
      <items count="5">
        <item h="1" x="3"/>
        <item h="1" x="2"/>
        <item h="1" x="1"/>
        <item x="0"/>
        <item t="default"/>
      </items>
    </pivotField>
  </pivotFields>
  <rowFields count="1">
    <field x="0"/>
  </rowFields>
  <rowItems count="4">
    <i>
      <x/>
    </i>
    <i>
      <x v="1"/>
    </i>
    <i>
      <x v="2"/>
    </i>
    <i>
      <x v="3"/>
    </i>
  </rowItems>
  <colItems count="1">
    <i/>
  </colItems>
  <dataFields count="1">
    <dataField name="Sum of Column2"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34BDDC-3247-47A0-8DB9-BE26D0E7D2C3}" name="Salesperson"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8">
  <location ref="A41:B46" firstHeaderRow="1" firstDataRow="1" firstDataCol="1"/>
  <pivotFields count="16">
    <pivotField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showAll="0">
      <items count="10">
        <item x="3"/>
        <item x="7"/>
        <item x="1"/>
        <item x="5"/>
        <item x="4"/>
        <item x="2"/>
        <item x="0"/>
        <item x="6"/>
        <item m="1" x="8"/>
        <item t="default"/>
      </items>
    </pivotField>
    <pivotField showAll="0"/>
    <pivotField axis="axisRow" showAll="0" sortType="descending">
      <items count="9">
        <item x="2"/>
        <item x="1"/>
        <item x="4"/>
        <item x="3"/>
        <item x="0"/>
        <item m="1" x="5"/>
        <item m="1" x="7"/>
        <item m="1"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9"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x v="4"/>
    </i>
  </rowItems>
  <colItems count="1">
    <i/>
  </colItems>
  <dataFields count="1">
    <dataField name="Sum of Sales" fld="7" baseField="6" baseItem="4"/>
  </dataFields>
  <chartFormats count="2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2">
          <reference field="4294967294" count="1" selected="0">
            <x v="0"/>
          </reference>
          <reference field="6" count="1" selected="0">
            <x v="1"/>
          </reference>
        </references>
      </pivotArea>
    </chartFormat>
    <chartFormat chart="19" format="8" series="1">
      <pivotArea type="data" outline="0" fieldPosition="0">
        <references count="2">
          <reference field="4294967294" count="1" selected="0">
            <x v="0"/>
          </reference>
          <reference field="6" count="1" selected="0">
            <x v="2"/>
          </reference>
        </references>
      </pivotArea>
    </chartFormat>
    <chartFormat chart="19" format="9" series="1">
      <pivotArea type="data" outline="0" fieldPosition="0">
        <references count="2">
          <reference field="4294967294" count="1" selected="0">
            <x v="0"/>
          </reference>
          <reference field="6" count="1" selected="0">
            <x v="3"/>
          </reference>
        </references>
      </pivotArea>
    </chartFormat>
    <chartFormat chart="19" format="10" series="1">
      <pivotArea type="data" outline="0" fieldPosition="0">
        <references count="2">
          <reference field="4294967294" count="1" selected="0">
            <x v="0"/>
          </reference>
          <reference field="6" count="1" selected="0">
            <x v="4"/>
          </reference>
        </references>
      </pivotArea>
    </chartFormat>
    <chartFormat chart="9" format="5" series="1">
      <pivotArea type="data" outline="0" fieldPosition="0">
        <references count="2">
          <reference field="4294967294" count="1" selected="0">
            <x v="0"/>
          </reference>
          <reference field="6" count="1" selected="0">
            <x v="1"/>
          </reference>
        </references>
      </pivotArea>
    </chartFormat>
    <chartFormat chart="9" format="6" series="1">
      <pivotArea type="data" outline="0" fieldPosition="0">
        <references count="2">
          <reference field="4294967294" count="1" selected="0">
            <x v="0"/>
          </reference>
          <reference field="6" count="1" selected="0">
            <x v="2"/>
          </reference>
        </references>
      </pivotArea>
    </chartFormat>
    <chartFormat chart="9" format="7" series="1">
      <pivotArea type="data" outline="0" fieldPosition="0">
        <references count="2">
          <reference field="4294967294" count="1" selected="0">
            <x v="0"/>
          </reference>
          <reference field="6" count="1" selected="0">
            <x v="3"/>
          </reference>
        </references>
      </pivotArea>
    </chartFormat>
    <chartFormat chart="9" format="8" series="1">
      <pivotArea type="data" outline="0" fieldPosition="0">
        <references count="2">
          <reference field="4294967294" count="1" selected="0">
            <x v="0"/>
          </reference>
          <reference field="6" count="1" selected="0">
            <x v="4"/>
          </reference>
        </references>
      </pivotArea>
    </chartFormat>
    <chartFormat chart="6" format="3" series="1">
      <pivotArea type="data" outline="0" fieldPosition="0">
        <references count="2">
          <reference field="4294967294" count="1" selected="0">
            <x v="0"/>
          </reference>
          <reference field="6" count="1" selected="0">
            <x v="1"/>
          </reference>
        </references>
      </pivotArea>
    </chartFormat>
    <chartFormat chart="6" format="4" series="1">
      <pivotArea type="data" outline="0" fieldPosition="0">
        <references count="2">
          <reference field="4294967294" count="1" selected="0">
            <x v="0"/>
          </reference>
          <reference field="6" count="1" selected="0">
            <x v="2"/>
          </reference>
        </references>
      </pivotArea>
    </chartFormat>
    <chartFormat chart="6" format="5" series="1">
      <pivotArea type="data" outline="0" fieldPosition="0">
        <references count="2">
          <reference field="4294967294" count="1" selected="0">
            <x v="0"/>
          </reference>
          <reference field="6" count="1" selected="0">
            <x v="3"/>
          </reference>
        </references>
      </pivotArea>
    </chartFormat>
    <chartFormat chart="6" format="6" series="1">
      <pivotArea type="data" outline="0" fieldPosition="0">
        <references count="2">
          <reference field="4294967294" count="1" selected="0">
            <x v="0"/>
          </reference>
          <reference field="6" count="1" selected="0">
            <x v="4"/>
          </reference>
        </references>
      </pivotArea>
    </chartFormat>
    <chartFormat chart="19" format="11">
      <pivotArea type="data" outline="0" fieldPosition="0">
        <references count="2">
          <reference field="4294967294" count="1" selected="0">
            <x v="0"/>
          </reference>
          <reference field="6" count="1" selected="0">
            <x v="0"/>
          </reference>
        </references>
      </pivotArea>
    </chartFormat>
    <chartFormat chart="19" format="12">
      <pivotArea type="data" outline="0" fieldPosition="0">
        <references count="2">
          <reference field="4294967294" count="1" selected="0">
            <x v="0"/>
          </reference>
          <reference field="6" count="1" selected="0">
            <x v="1"/>
          </reference>
        </references>
      </pivotArea>
    </chartFormat>
    <chartFormat chart="19" format="13">
      <pivotArea type="data" outline="0" fieldPosition="0">
        <references count="2">
          <reference field="4294967294" count="1" selected="0">
            <x v="0"/>
          </reference>
          <reference field="6" count="1" selected="0">
            <x v="2"/>
          </reference>
        </references>
      </pivotArea>
    </chartFormat>
    <chartFormat chart="19" format="14">
      <pivotArea type="data" outline="0" fieldPosition="0">
        <references count="2">
          <reference field="4294967294" count="1" selected="0">
            <x v="0"/>
          </reference>
          <reference field="6" count="1" selected="0">
            <x v="3"/>
          </reference>
        </references>
      </pivotArea>
    </chartFormat>
    <chartFormat chart="19" format="15">
      <pivotArea type="data" outline="0" fieldPosition="0">
        <references count="2">
          <reference field="4294967294" count="1" selected="0">
            <x v="0"/>
          </reference>
          <reference field="6" count="1" selected="0">
            <x v="4"/>
          </reference>
        </references>
      </pivotArea>
    </chartFormat>
    <chartFormat chart="36" format="9" series="1">
      <pivotArea type="data" outline="0" fieldPosition="0">
        <references count="1">
          <reference field="4294967294" count="1" selected="0">
            <x v="0"/>
          </reference>
        </references>
      </pivotArea>
    </chartFormat>
    <chartFormat chart="3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28312A-9CB2-426D-801E-3DE56E71FB23}" name="Salesperson_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showAll="0">
      <items count="10">
        <item x="3"/>
        <item x="7"/>
        <item x="1"/>
        <item x="5"/>
        <item x="4"/>
        <item x="2"/>
        <item x="0"/>
        <item x="6"/>
        <item m="1" x="8"/>
        <item t="default"/>
      </items>
    </pivotField>
    <pivotField showAll="0"/>
    <pivotField axis="axisRow" showAll="0">
      <items count="9">
        <item x="2"/>
        <item x="1"/>
        <item x="4"/>
        <item x="3"/>
        <item x="0"/>
        <item m="1" x="5"/>
        <item m="1" x="7"/>
        <item m="1" x="6"/>
        <item t="default"/>
      </items>
    </pivotField>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5EA0A3-5207-4B78-B8CB-5ACA69C0CB33}" name="RegionS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A3:B8" firstHeaderRow="1" firstDataRow="1" firstDataCol="1"/>
  <pivotFields count="16">
    <pivotField showAll="0"/>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sortType="descending">
      <items count="6">
        <item x="3"/>
        <item x="1"/>
        <item x="2"/>
        <item x="0"/>
        <item m="1"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0">
        <item x="3"/>
        <item x="7"/>
        <item x="1"/>
        <item x="5"/>
        <item x="4"/>
        <item x="2"/>
        <item x="0"/>
        <item x="6"/>
        <item m="1" x="8"/>
        <item t="default"/>
      </items>
    </pivotField>
    <pivotField showAll="0"/>
    <pivotField showAll="0">
      <items count="9">
        <item x="2"/>
        <item x="1"/>
        <item x="4"/>
        <item x="3"/>
        <item x="0"/>
        <item m="1" x="5"/>
        <item m="1" x="7"/>
        <item m="1" x="6"/>
        <item t="default"/>
      </items>
    </pivotField>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3"/>
    </i>
    <i>
      <x v="2"/>
    </i>
    <i>
      <x/>
    </i>
    <i>
      <x v="1"/>
    </i>
    <i t="grand">
      <x/>
    </i>
  </rowItems>
  <colItems count="1">
    <i/>
  </colItems>
  <dataFields count="1">
    <dataField name="Sum of Sales" fld="7" baseField="0" baseItem="0"/>
  </dataFields>
  <chartFormats count="5">
    <chartFormat chart="10" format="4"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5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7255B5-D2FB-4441-8CDF-3B16BD651018}" name="ordtcou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E42" firstHeaderRow="1" firstDataRow="1" firstDataCol="0"/>
  <pivotFields count="16">
    <pivotField dataField="1" showAll="0"/>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3"/>
        <item x="1"/>
        <item x="2"/>
        <item x="0"/>
        <item m="1" x="4"/>
        <item t="default"/>
      </items>
    </pivotField>
    <pivotField showAll="0">
      <items count="3">
        <item x="1"/>
        <item x="0"/>
        <item t="default"/>
      </items>
    </pivotField>
    <pivotField showAll="0">
      <items count="10">
        <item x="3"/>
        <item x="7"/>
        <item x="1"/>
        <item x="5"/>
        <item x="4"/>
        <item x="2"/>
        <item x="0"/>
        <item x="6"/>
        <item m="1" x="8"/>
        <item t="default"/>
      </items>
    </pivotField>
    <pivotField showAll="0"/>
    <pivotField showAll="0">
      <items count="9">
        <item x="2"/>
        <item x="1"/>
        <item x="4"/>
        <item x="3"/>
        <item x="0"/>
        <item m="1" x="5"/>
        <item m="1" x="7"/>
        <item m="1" x="6"/>
        <item t="default"/>
      </items>
    </pivotField>
    <pivotField showAll="0"/>
    <pivotField showAll="0"/>
    <pivotField showAll="0"/>
    <pivotField numFmtId="9"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74BF8F-7B1E-4B01-85CD-B277E0C84BB5}" sourceName="Region">
  <pivotTables>
    <pivotTable tabId="4" name="RegionSale"/>
    <pivotTable tabId="4" name="DailysalesTrend"/>
    <pivotTable tabId="4" name="Category/sales"/>
    <pivotTable tabId="4" name="Product_Profit"/>
    <pivotTable tabId="4" name="Salesperson"/>
    <pivotTable tabId="4" name="GrandTotal"/>
    <pivotTable tabId="4" name="ordtcount"/>
    <pivotTable tabId="4" name="MonthlySalesSummary"/>
  </pivotTables>
  <data>
    <tabular pivotCacheId="1615103211">
      <items count="5">
        <i x="3" s="1"/>
        <i x="1" s="1"/>
        <i x="2"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28DD03-C2F7-4A68-81D3-D6DB4E29BEBB}" sourceName="Category">
  <pivotTables>
    <pivotTable tabId="4" name="Category/sales"/>
    <pivotTable tabId="4" name="DailysalesTrend"/>
    <pivotTable tabId="4" name="RegionSale"/>
    <pivotTable tabId="4" name="GrandTotal"/>
    <pivotTable tabId="4" name="MonthlySalesSummary"/>
    <pivotTable tabId="4" name="Product_Profit"/>
    <pivotTable tabId="4" name="Salesperson"/>
    <pivotTable tabId="4" name="ordtcount"/>
  </pivotTables>
  <data>
    <tabular pivotCacheId="161510321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5596CC1-F7D5-4C78-ACC8-8C8194C44FBB}" sourceName="Product">
  <pivotTables>
    <pivotTable tabId="4" name="Product_Profit"/>
    <pivotTable tabId="4" name="Category/sales"/>
    <pivotTable tabId="4" name="DailysalesTrend"/>
    <pivotTable tabId="4" name="MonthlySalesSummary"/>
    <pivotTable tabId="4" name="RegionSale"/>
    <pivotTable tabId="4" name="GrandTotal"/>
    <pivotTable tabId="4" name="ordtcount"/>
    <pivotTable tabId="4" name="Salesperson"/>
  </pivotTables>
  <data>
    <tabular pivotCacheId="1615103211" sortOrder="descending">
      <items count="9">
        <i x="6" s="1"/>
        <i x="0" s="1"/>
        <i x="2" s="1"/>
        <i x="4" s="1"/>
        <i x="5" s="1"/>
        <i x="1" s="1"/>
        <i x="7" s="1"/>
        <i x="3" s="1"/>
        <i x="8"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01076D9-6BB2-4C09-9C4B-2D2F3D0A7A53}" sourceName="SalesPerson">
  <pivotTables>
    <pivotTable tabId="4" name="Salesperson"/>
    <pivotTable tabId="4" name="Category/sales"/>
    <pivotTable tabId="4" name="MonthlySalesSummary"/>
    <pivotTable tabId="4" name="RegionSale"/>
    <pivotTable tabId="4" name="Product_Profit"/>
    <pivotTable tabId="4" name="ordtcount"/>
  </pivotTables>
  <data>
    <tabular pivotCacheId="1615103211">
      <items count="8">
        <i x="2" s="1"/>
        <i x="1" s="1"/>
        <i x="4" s="1"/>
        <i x="3" s="1"/>
        <i x="0" s="1"/>
        <i x="5" s="1" nd="1"/>
        <i x="7"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525036-803D-489B-9F5A-55487FE2ACF1}" cache="Slicer_Region" caption="Region" rowHeight="257175"/>
  <slicer name="Category" xr10:uid="{BC019DBD-2332-46BC-95FB-CEDF857D01A0}" cache="Slicer_Category" caption="Category" rowHeight="257175"/>
  <slicer name="Product" xr10:uid="{07609EAC-1DC6-4F0C-AD5D-88AC5F0CCA88}" cache="Slicer_Product" caption="Product" columnCount="2" rowHeight="257175"/>
  <slicer name="SalesPerson" xr10:uid="{EF907578-E332-43F9-BF53-66B0948FF360}" cache="Slicer_SalesPerson" caption="SalesPers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BA8CFBA-49A5-48B3-883E-2A5E08D52E9A}" cache="Slicer_Region" caption="Region" style="SlicerStyleLight5" rowHeight="257175"/>
  <slicer name="Category 1" xr10:uid="{CD6CCEC5-BDEB-4776-811E-DF05E061B987}" cache="Slicer_Category" caption="Category" style="SlicerStyleLight5" rowHeight="257175"/>
  <slicer name="Product 1" xr10:uid="{5C32A5B4-AF3C-462D-B649-EAC68AFFB7CC}" cache="Slicer_Product" caption="Product" columnCount="2" style="SlicerStyleLight5" rowHeight="257175"/>
  <slicer name="SalesPerson 1" xr10:uid="{D165BA12-9FC3-4376-817F-D1B8AE944A25}" cache="Slicer_SalesPerson" caption="SalesPerson" style="SlicerStyleLight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8E2C9-42CB-464A-A8DC-0B7F56EE309F}" name="Table1" displayName="Table1" ref="A1:N201" totalsRowShown="0">
  <autoFilter ref="A1:N201" xr:uid="{B2F8E2C9-42CB-464A-A8DC-0B7F56EE309F}"/>
  <sortState xmlns:xlrd2="http://schemas.microsoft.com/office/spreadsheetml/2017/richdata2" ref="A2:N201">
    <sortCondition ref="B1:B201"/>
  </sortState>
  <tableColumns count="14">
    <tableColumn id="1" xr3:uid="{7DFD4B82-CAA7-408A-9F60-99736720D74F}" name="OrderID"/>
    <tableColumn id="2" xr3:uid="{B9997BDD-AD93-4448-8779-27B442EA6DDA}" name="OrderDate" dataDxfId="10"/>
    <tableColumn id="3" xr3:uid="{C0918E74-C8A4-430B-B5D6-AF82F1A9520C}" name="Region"/>
    <tableColumn id="4" xr3:uid="{319BDBCC-1D44-4696-93D0-70D105F0CF78}" name="Category"/>
    <tableColumn id="5" xr3:uid="{732D7B7C-56EA-42AA-A660-3DE264CFDEC3}" name="Product"/>
    <tableColumn id="6" xr3:uid="{A07217CE-9371-4F9A-9618-791EEE78344E}" name="CustomerName"/>
    <tableColumn id="7" xr3:uid="{5F886363-45E7-47A3-90BC-79DD8F907BA4}" name="SalesPerson"/>
    <tableColumn id="8" xr3:uid="{547923AD-9F1C-4FCE-9F2D-E6B7EE9FEA6A}" name="Sales"/>
    <tableColumn id="9" xr3:uid="{EDA0D548-99FD-491B-91FB-7173D9314E36}" name="Cost"/>
    <tableColumn id="10" xr3:uid="{80EC4988-DB76-4109-A39F-0837B5099CBC}" name="Profit">
      <calculatedColumnFormula>H2-I2</calculatedColumnFormula>
    </tableColumn>
    <tableColumn id="11" xr3:uid="{5415782A-CFE4-461B-AF17-5876385E653B}" name="Profit %" dataDxfId="9" dataCellStyle="Percent">
      <calculatedColumnFormula>J2/H2</calculatedColumnFormula>
    </tableColumn>
    <tableColumn id="12" xr3:uid="{0DC0F6C9-7205-4D7F-950B-2B022F0EB096}" name="        Performance                                                                                              ">
      <calculatedColumnFormula>IF(Excel_Data_Analytics_Dataset!J2&gt;15000,"Excellent",IF(Excel_Data_Analytics_Dataset!J2&gt;=5000,"Good","Poor"))</calculatedColumnFormula>
    </tableColumn>
    <tableColumn id="13" xr3:uid="{893DDF13-6833-4DFA-A060-E600E5E4E3B0}" name="commision"/>
    <tableColumn id="15" xr3:uid="{3D76FFF5-C9C4-4B8F-A558-53C85901D6DC}" name="Cumulative Sales"/>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861922-479D-4F8E-9770-B7E8E0B82C70}" name="Table2" displayName="Table2" ref="B70:D75" totalsRowShown="0">
  <autoFilter ref="B70:D75" xr:uid="{C4861922-479D-4F8E-9770-B7E8E0B82C70}"/>
  <tableColumns count="3">
    <tableColumn id="1" xr3:uid="{52502158-A472-4F4B-AB78-D76EC60D2A04}" name="sales person" dataDxfId="8"/>
    <tableColumn id="2" xr3:uid="{44437060-BA38-431D-B2E8-D85FBDEFD6BC}" name="sales"/>
    <tableColumn id="3" xr3:uid="{4BB327C4-654F-4062-B50A-74833CEB1B6C}" name="Rank">
      <calculatedColumnFormula>_xlfn.RANK.EQ(Table2[[#This Row],[sales]],Table2[sales])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CE14CD-1732-4A80-981B-13D69921EDF1}" name="Table3" displayName="Table3" ref="B79:D83" totalsRowShown="0" dataDxfId="7">
  <autoFilter ref="B79:D83" xr:uid="{FDCE14CD-1732-4A80-981B-13D69921EDF1}"/>
  <sortState xmlns:xlrd2="http://schemas.microsoft.com/office/spreadsheetml/2017/richdata2" ref="B80:C83">
    <sortCondition descending="1" ref="C79:C83"/>
  </sortState>
  <tableColumns count="3">
    <tableColumn id="1" xr3:uid="{96D7F1F3-48D5-4454-B108-127DE787EA18}" name="Product" dataDxfId="6"/>
    <tableColumn id="2" xr3:uid="{63349BCA-3D7A-418D-8A80-5258A546FE46}" name="Revenue" dataDxfId="5"/>
    <tableColumn id="3" xr3:uid="{7804E0C0-0F92-46CC-9B83-6BE657C25F25}" name="Rank" dataDxfId="4">
      <calculatedColumnFormula>_xlfn.RANK.EQ(Table3[[#This Row],[Revenue]],Table3[Revenue])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0BF510-4A19-4B19-9C97-086B1E3AF289}" name="Table4" displayName="Table4" ref="A14:B18" totalsRowShown="0">
  <autoFilter ref="A14:B18" xr:uid="{DC0BF510-4A19-4B19-9C97-086B1E3AF289}"/>
  <tableColumns count="2">
    <tableColumn id="1" xr3:uid="{D6F2C255-46C5-4383-B898-17206609A5F6}" name="Column1"/>
    <tableColumn id="2" xr3:uid="{9D13E3E1-79B9-4C54-840A-1C82C98084EA}"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60CD-34B6-4FE6-8A8F-058165824D4E}">
  <dimension ref="A1:N201"/>
  <sheetViews>
    <sheetView topLeftCell="E1" workbookViewId="0">
      <selection activeCell="E11" sqref="E11"/>
    </sheetView>
  </sheetViews>
  <sheetFormatPr defaultRowHeight="15" x14ac:dyDescent="0.25"/>
  <cols>
    <col min="1" max="1" width="10.28515625" customWidth="1"/>
    <col min="2" max="2" width="20" style="13" customWidth="1"/>
    <col min="3" max="3" width="9.42578125" customWidth="1"/>
    <col min="4" max="4" width="11.28515625" customWidth="1"/>
    <col min="5" max="5" width="10.140625" customWidth="1"/>
    <col min="6" max="6" width="27.7109375" customWidth="1"/>
    <col min="7" max="7" width="18.28515625" customWidth="1"/>
    <col min="11" max="11" width="10.140625" customWidth="1"/>
    <col min="12" max="12" width="18.28515625" customWidth="1"/>
    <col min="13" max="13" width="15" customWidth="1"/>
    <col min="14" max="14" width="19.28515625" customWidth="1"/>
  </cols>
  <sheetData>
    <row r="1" spans="1:14" x14ac:dyDescent="0.25">
      <c r="A1" t="s">
        <v>0</v>
      </c>
      <c r="B1" s="13" t="s">
        <v>1</v>
      </c>
      <c r="C1" t="s">
        <v>2</v>
      </c>
      <c r="D1" t="s">
        <v>3</v>
      </c>
      <c r="E1" t="s">
        <v>4</v>
      </c>
      <c r="F1" t="s">
        <v>5</v>
      </c>
      <c r="G1" t="s">
        <v>6</v>
      </c>
      <c r="H1" t="s">
        <v>7</v>
      </c>
      <c r="I1" t="s">
        <v>8</v>
      </c>
      <c r="J1" t="s">
        <v>80</v>
      </c>
      <c r="K1" t="s">
        <v>81</v>
      </c>
      <c r="L1" t="s">
        <v>96</v>
      </c>
      <c r="M1" t="s">
        <v>104</v>
      </c>
      <c r="N1" t="s">
        <v>111</v>
      </c>
    </row>
    <row r="2" spans="1:14" x14ac:dyDescent="0.25">
      <c r="A2">
        <v>1</v>
      </c>
      <c r="B2" s="13">
        <v>45660</v>
      </c>
      <c r="C2" t="s">
        <v>9</v>
      </c>
      <c r="D2" t="s">
        <v>10</v>
      </c>
      <c r="E2" t="s">
        <v>11</v>
      </c>
      <c r="F2" t="s">
        <v>12</v>
      </c>
      <c r="G2" t="s">
        <v>13</v>
      </c>
      <c r="H2">
        <v>5811</v>
      </c>
      <c r="I2">
        <v>5067</v>
      </c>
      <c r="J2">
        <f t="shared" ref="J2:J65" si="0">H2-I2</f>
        <v>744</v>
      </c>
      <c r="K2" s="2">
        <f t="shared" ref="K2:K65" si="1">J2/H2</f>
        <v>0.12803304078471864</v>
      </c>
      <c r="L2" t="str">
        <f>IF(Excel_Data_Analytics_Dataset!J2&gt;15000,"Excellent",IF(Excel_Data_Analytics_Dataset!J2&gt;=5000,"Good","Poor"))</f>
        <v>Poor</v>
      </c>
      <c r="M2">
        <f>IF(Table1[[#This Row],[Category]]="Electronics",Excel_Data_Analytics_Dataset!H2*5%,Excel_Data_Analytics_Dataset!H2*8%)</f>
        <v>464.88</v>
      </c>
      <c r="N2">
        <f>SUM(H$2:H2)</f>
        <v>5811</v>
      </c>
    </row>
    <row r="3" spans="1:14" x14ac:dyDescent="0.25">
      <c r="A3">
        <v>2</v>
      </c>
      <c r="B3" s="13">
        <v>45661</v>
      </c>
      <c r="C3" t="s">
        <v>14</v>
      </c>
      <c r="D3" t="s">
        <v>10</v>
      </c>
      <c r="E3" t="s">
        <v>15</v>
      </c>
      <c r="F3" t="s">
        <v>16</v>
      </c>
      <c r="G3" t="s">
        <v>13</v>
      </c>
      <c r="H3">
        <v>13553</v>
      </c>
      <c r="I3">
        <v>8173</v>
      </c>
      <c r="J3">
        <f t="shared" si="0"/>
        <v>5380</v>
      </c>
      <c r="K3" s="2">
        <f t="shared" si="1"/>
        <v>0.39696008263853022</v>
      </c>
      <c r="L3" t="str">
        <f>IF(Excel_Data_Analytics_Dataset!J3&gt;15000,"Excellent",IF(Excel_Data_Analytics_Dataset!J3&gt;=5000,"Good","Poor"))</f>
        <v>Good</v>
      </c>
      <c r="M3">
        <f>IF(Table1[[#This Row],[Category]]="Electronics",Excel_Data_Analytics_Dataset!H3*5%,Excel_Data_Analytics_Dataset!H3*8%)</f>
        <v>1084.24</v>
      </c>
      <c r="N3">
        <f>SUM(H$2:H3)</f>
        <v>19364</v>
      </c>
    </row>
    <row r="4" spans="1:14" x14ac:dyDescent="0.25">
      <c r="A4">
        <v>3</v>
      </c>
      <c r="B4" s="13">
        <v>45662</v>
      </c>
      <c r="C4" t="s">
        <v>17</v>
      </c>
      <c r="D4" t="s">
        <v>18</v>
      </c>
      <c r="E4" t="s">
        <v>19</v>
      </c>
      <c r="F4" t="s">
        <v>20</v>
      </c>
      <c r="G4" t="s">
        <v>13</v>
      </c>
      <c r="H4">
        <v>7987</v>
      </c>
      <c r="I4">
        <v>5653</v>
      </c>
      <c r="J4">
        <f t="shared" si="0"/>
        <v>2334</v>
      </c>
      <c r="K4" s="2">
        <f t="shared" si="1"/>
        <v>0.29222486540628523</v>
      </c>
      <c r="L4" t="str">
        <f>IF(Excel_Data_Analytics_Dataset!J4&gt;15000,"Excellent",IF(Excel_Data_Analytics_Dataset!J4&gt;=5000,"Good","Poor"))</f>
        <v>Poor</v>
      </c>
      <c r="M4">
        <f>IF(Table1[[#This Row],[Category]]="Electronics",Excel_Data_Analytics_Dataset!H4*5%,Excel_Data_Analytics_Dataset!H4*8%)</f>
        <v>399.35</v>
      </c>
      <c r="N4">
        <f>SUM(H$2:H4)</f>
        <v>27351</v>
      </c>
    </row>
    <row r="5" spans="1:14" x14ac:dyDescent="0.25">
      <c r="A5">
        <v>4</v>
      </c>
      <c r="B5" s="13">
        <v>45663</v>
      </c>
      <c r="C5" t="s">
        <v>9</v>
      </c>
      <c r="D5" t="s">
        <v>10</v>
      </c>
      <c r="E5" t="s">
        <v>21</v>
      </c>
      <c r="F5" t="s">
        <v>22</v>
      </c>
      <c r="G5" t="s">
        <v>23</v>
      </c>
      <c r="H5">
        <v>3254</v>
      </c>
      <c r="I5">
        <v>2435</v>
      </c>
      <c r="J5">
        <f t="shared" si="0"/>
        <v>819</v>
      </c>
      <c r="K5" s="2">
        <f t="shared" si="1"/>
        <v>0.25169022741241548</v>
      </c>
      <c r="L5" t="str">
        <f>IF(Excel_Data_Analytics_Dataset!J5&gt;15000,"Excellent",IF(Excel_Data_Analytics_Dataset!J5&gt;=5000,"Good","Poor"))</f>
        <v>Poor</v>
      </c>
      <c r="M5">
        <f>IF(Table1[[#This Row],[Category]]="Electronics",Excel_Data_Analytics_Dataset!H5*5%,Excel_Data_Analytics_Dataset!H5*8%)</f>
        <v>260.32</v>
      </c>
      <c r="N5">
        <f>SUM(H$2:H5)</f>
        <v>30605</v>
      </c>
    </row>
    <row r="6" spans="1:14" x14ac:dyDescent="0.25">
      <c r="A6">
        <v>5</v>
      </c>
      <c r="B6" s="13">
        <v>45664</v>
      </c>
      <c r="C6" t="s">
        <v>17</v>
      </c>
      <c r="D6" t="s">
        <v>18</v>
      </c>
      <c r="E6" t="s">
        <v>19</v>
      </c>
      <c r="F6" t="s">
        <v>24</v>
      </c>
      <c r="G6" t="s">
        <v>23</v>
      </c>
      <c r="H6">
        <v>13732</v>
      </c>
      <c r="I6">
        <v>11076</v>
      </c>
      <c r="J6">
        <f t="shared" si="0"/>
        <v>2656</v>
      </c>
      <c r="K6" s="2">
        <f t="shared" si="1"/>
        <v>0.19341683658607631</v>
      </c>
      <c r="L6" t="str">
        <f>IF(Excel_Data_Analytics_Dataset!J6&gt;15000,"Excellent",IF(Excel_Data_Analytics_Dataset!J6&gt;=5000,"Good","Poor"))</f>
        <v>Poor</v>
      </c>
      <c r="M6">
        <f>IF(Table1[[#This Row],[Category]]="Electronics",Excel_Data_Analytics_Dataset!H6*5%,Excel_Data_Analytics_Dataset!H6*8%)</f>
        <v>686.6</v>
      </c>
      <c r="N6">
        <f>SUM(H$2:H6)</f>
        <v>44337</v>
      </c>
    </row>
    <row r="7" spans="1:14" x14ac:dyDescent="0.25">
      <c r="A7">
        <v>6</v>
      </c>
      <c r="B7" s="13">
        <v>45665</v>
      </c>
      <c r="C7" t="s">
        <v>17</v>
      </c>
      <c r="D7" t="s">
        <v>10</v>
      </c>
      <c r="E7" t="s">
        <v>11</v>
      </c>
      <c r="F7" t="s">
        <v>25</v>
      </c>
      <c r="G7" t="s">
        <v>13</v>
      </c>
      <c r="H7">
        <v>17328</v>
      </c>
      <c r="I7">
        <v>14130</v>
      </c>
      <c r="J7">
        <f t="shared" si="0"/>
        <v>3198</v>
      </c>
      <c r="K7" s="2">
        <f t="shared" si="1"/>
        <v>0.18455678670360109</v>
      </c>
      <c r="L7" t="str">
        <f>IF(Excel_Data_Analytics_Dataset!J7&gt;15000,"Excellent",IF(Excel_Data_Analytics_Dataset!J7&gt;=5000,"Good","Poor"))</f>
        <v>Poor</v>
      </c>
      <c r="M7">
        <f>IF(Table1[[#This Row],[Category]]="Electronics",Excel_Data_Analytics_Dataset!H7*5%,Excel_Data_Analytics_Dataset!H7*8%)</f>
        <v>1386.24</v>
      </c>
      <c r="N7">
        <f>SUM(H$2:H7)</f>
        <v>61665</v>
      </c>
    </row>
    <row r="8" spans="1:14" x14ac:dyDescent="0.25">
      <c r="A8">
        <v>7</v>
      </c>
      <c r="B8" s="13">
        <v>45666</v>
      </c>
      <c r="C8" t="s">
        <v>14</v>
      </c>
      <c r="D8" t="s">
        <v>18</v>
      </c>
      <c r="E8" t="s">
        <v>26</v>
      </c>
      <c r="F8" t="s">
        <v>27</v>
      </c>
      <c r="G8" t="s">
        <v>28</v>
      </c>
      <c r="H8">
        <v>16650</v>
      </c>
      <c r="I8">
        <v>14634</v>
      </c>
      <c r="J8">
        <f t="shared" si="0"/>
        <v>2016</v>
      </c>
      <c r="K8" s="2">
        <f t="shared" si="1"/>
        <v>0.12108108108108108</v>
      </c>
      <c r="L8" t="str">
        <f>IF(Excel_Data_Analytics_Dataset!J8&gt;15000,"Excellent",IF(Excel_Data_Analytics_Dataset!J8&gt;=5000,"Good","Poor"))</f>
        <v>Poor</v>
      </c>
      <c r="M8">
        <f>IF(Table1[[#This Row],[Category]]="Electronics",Excel_Data_Analytics_Dataset!H8*5%,Excel_Data_Analytics_Dataset!H8*8%)</f>
        <v>832.5</v>
      </c>
      <c r="N8">
        <f>SUM(H$2:H8)</f>
        <v>78315</v>
      </c>
    </row>
    <row r="9" spans="1:14" x14ac:dyDescent="0.25">
      <c r="A9">
        <v>8</v>
      </c>
      <c r="B9" s="13">
        <v>45667</v>
      </c>
      <c r="C9" t="s">
        <v>17</v>
      </c>
      <c r="D9" t="s">
        <v>18</v>
      </c>
      <c r="E9" t="s">
        <v>29</v>
      </c>
      <c r="F9" t="s">
        <v>30</v>
      </c>
      <c r="G9" t="s">
        <v>13</v>
      </c>
      <c r="H9">
        <v>4964</v>
      </c>
      <c r="I9">
        <v>3181</v>
      </c>
      <c r="J9">
        <f t="shared" si="0"/>
        <v>1783</v>
      </c>
      <c r="K9" s="2">
        <f t="shared" si="1"/>
        <v>0.35918614020950845</v>
      </c>
      <c r="L9" t="str">
        <f>IF(Excel_Data_Analytics_Dataset!J9&gt;15000,"Excellent",IF(Excel_Data_Analytics_Dataset!J9&gt;=5000,"Good","Poor"))</f>
        <v>Poor</v>
      </c>
      <c r="M9">
        <f>IF(Table1[[#This Row],[Category]]="Electronics",Excel_Data_Analytics_Dataset!H9*5%,Excel_Data_Analytics_Dataset!H9*8%)</f>
        <v>248.20000000000002</v>
      </c>
      <c r="N9">
        <f>SUM(H$2:H9)</f>
        <v>83279</v>
      </c>
    </row>
    <row r="10" spans="1:14" x14ac:dyDescent="0.25">
      <c r="A10">
        <v>9</v>
      </c>
      <c r="B10" s="13">
        <v>45668</v>
      </c>
      <c r="C10" t="s">
        <v>14</v>
      </c>
      <c r="D10" t="s">
        <v>10</v>
      </c>
      <c r="E10" t="s">
        <v>11</v>
      </c>
      <c r="F10" t="s">
        <v>31</v>
      </c>
      <c r="G10" t="s">
        <v>23</v>
      </c>
      <c r="H10">
        <v>19497</v>
      </c>
      <c r="I10">
        <v>16208</v>
      </c>
      <c r="J10">
        <f t="shared" si="0"/>
        <v>3289</v>
      </c>
      <c r="K10" s="2">
        <f t="shared" si="1"/>
        <v>0.16869261937734009</v>
      </c>
      <c r="L10" t="str">
        <f>IF(Excel_Data_Analytics_Dataset!J10&gt;15000,"Excellent",IF(Excel_Data_Analytics_Dataset!J10&gt;=5000,"Good","Poor"))</f>
        <v>Poor</v>
      </c>
      <c r="M10">
        <f>IF(Table1[[#This Row],[Category]]="Electronics",Excel_Data_Analytics_Dataset!H10*5%,Excel_Data_Analytics_Dataset!H10*8%)</f>
        <v>1559.76</v>
      </c>
      <c r="N10">
        <f>SUM(H$2:H10)</f>
        <v>102776</v>
      </c>
    </row>
    <row r="11" spans="1:14" x14ac:dyDescent="0.25">
      <c r="A11">
        <v>10</v>
      </c>
      <c r="B11" s="13">
        <v>45669</v>
      </c>
      <c r="C11" t="s">
        <v>17</v>
      </c>
      <c r="D11" t="s">
        <v>18</v>
      </c>
      <c r="E11" t="s">
        <v>385</v>
      </c>
      <c r="F11" t="s">
        <v>25</v>
      </c>
      <c r="G11" t="s">
        <v>33</v>
      </c>
      <c r="H11">
        <v>29094</v>
      </c>
      <c r="I11">
        <v>19174</v>
      </c>
      <c r="J11">
        <f t="shared" si="0"/>
        <v>9920</v>
      </c>
      <c r="K11" s="2">
        <f t="shared" si="1"/>
        <v>0.34096377259916133</v>
      </c>
      <c r="L11" t="str">
        <f>IF(Excel_Data_Analytics_Dataset!J11&gt;15000,"Excellent",IF(Excel_Data_Analytics_Dataset!J11&gt;=5000,"Good","Poor"))</f>
        <v>Good</v>
      </c>
      <c r="M11">
        <f>IF(Table1[[#This Row],[Category]]="Electronics",Excel_Data_Analytics_Dataset!H11*5%,Excel_Data_Analytics_Dataset!H11*8%)</f>
        <v>1454.7</v>
      </c>
      <c r="N11">
        <f>SUM(H$2:H11)</f>
        <v>131870</v>
      </c>
    </row>
    <row r="12" spans="1:14" x14ac:dyDescent="0.25">
      <c r="A12">
        <v>11</v>
      </c>
      <c r="B12" s="13">
        <v>45670</v>
      </c>
      <c r="C12" t="s">
        <v>9</v>
      </c>
      <c r="D12" t="s">
        <v>18</v>
      </c>
      <c r="E12" t="s">
        <v>19</v>
      </c>
      <c r="F12" t="s">
        <v>34</v>
      </c>
      <c r="G12" t="s">
        <v>35</v>
      </c>
      <c r="H12">
        <v>27904</v>
      </c>
      <c r="I12">
        <v>24463</v>
      </c>
      <c r="J12">
        <f t="shared" si="0"/>
        <v>3441</v>
      </c>
      <c r="K12" s="2">
        <f t="shared" si="1"/>
        <v>0.12331565366972477</v>
      </c>
      <c r="L12" t="str">
        <f>IF(Excel_Data_Analytics_Dataset!J12&gt;15000,"Excellent",IF(Excel_Data_Analytics_Dataset!J12&gt;=5000,"Good","Poor"))</f>
        <v>Poor</v>
      </c>
      <c r="M12">
        <f>IF(Table1[[#This Row],[Category]]="Electronics",Excel_Data_Analytics_Dataset!H12*5%,Excel_Data_Analytics_Dataset!H12*8%)</f>
        <v>1395.2</v>
      </c>
      <c r="N12">
        <f>SUM(H$2:H12)</f>
        <v>159774</v>
      </c>
    </row>
    <row r="13" spans="1:14" x14ac:dyDescent="0.25">
      <c r="A13">
        <v>12</v>
      </c>
      <c r="B13" s="13">
        <v>45671</v>
      </c>
      <c r="C13" t="s">
        <v>14</v>
      </c>
      <c r="D13" t="s">
        <v>18</v>
      </c>
      <c r="E13" t="s">
        <v>29</v>
      </c>
      <c r="F13" t="s">
        <v>36</v>
      </c>
      <c r="G13" t="s">
        <v>28</v>
      </c>
      <c r="H13">
        <v>9233</v>
      </c>
      <c r="I13">
        <v>6766</v>
      </c>
      <c r="J13">
        <f t="shared" si="0"/>
        <v>2467</v>
      </c>
      <c r="K13" s="2">
        <f t="shared" si="1"/>
        <v>0.26719376150763563</v>
      </c>
      <c r="L13" t="str">
        <f>IF(Excel_Data_Analytics_Dataset!J13&gt;15000,"Excellent",IF(Excel_Data_Analytics_Dataset!J13&gt;=5000,"Good","Poor"))</f>
        <v>Poor</v>
      </c>
      <c r="M13">
        <f>IF(Table1[[#This Row],[Category]]="Electronics",Excel_Data_Analytics_Dataset!H13*5%,Excel_Data_Analytics_Dataset!H13*8%)</f>
        <v>461.65000000000003</v>
      </c>
      <c r="N13">
        <f>SUM(H$2:H13)</f>
        <v>169007</v>
      </c>
    </row>
    <row r="14" spans="1:14" x14ac:dyDescent="0.25">
      <c r="A14">
        <v>13</v>
      </c>
      <c r="B14" s="13">
        <v>45672</v>
      </c>
      <c r="C14" t="s">
        <v>37</v>
      </c>
      <c r="D14" t="s">
        <v>10</v>
      </c>
      <c r="E14" t="s">
        <v>15</v>
      </c>
      <c r="F14" t="s">
        <v>38</v>
      </c>
      <c r="G14" t="s">
        <v>13</v>
      </c>
      <c r="H14">
        <v>27329</v>
      </c>
      <c r="I14">
        <v>18038</v>
      </c>
      <c r="J14">
        <f t="shared" si="0"/>
        <v>9291</v>
      </c>
      <c r="K14" s="2">
        <f t="shared" si="1"/>
        <v>0.33996853159647261</v>
      </c>
      <c r="L14" t="str">
        <f>IF(Excel_Data_Analytics_Dataset!J14&gt;15000,"Excellent",IF(Excel_Data_Analytics_Dataset!J14&gt;=5000,"Good","Poor"))</f>
        <v>Good</v>
      </c>
      <c r="M14">
        <f>IF(Table1[[#This Row],[Category]]="Electronics",Excel_Data_Analytics_Dataset!H14*5%,Excel_Data_Analytics_Dataset!H14*8%)</f>
        <v>2186.3200000000002</v>
      </c>
      <c r="N14">
        <f>SUM(H$2:H14)</f>
        <v>196336</v>
      </c>
    </row>
    <row r="15" spans="1:14" x14ac:dyDescent="0.25">
      <c r="A15">
        <v>14</v>
      </c>
      <c r="B15" s="13">
        <v>45673</v>
      </c>
      <c r="C15" t="s">
        <v>9</v>
      </c>
      <c r="D15" t="s">
        <v>10</v>
      </c>
      <c r="E15" t="s">
        <v>15</v>
      </c>
      <c r="F15" t="s">
        <v>39</v>
      </c>
      <c r="G15" t="s">
        <v>33</v>
      </c>
      <c r="H15">
        <v>6994</v>
      </c>
      <c r="I15">
        <v>5062</v>
      </c>
      <c r="J15">
        <f t="shared" si="0"/>
        <v>1932</v>
      </c>
      <c r="K15" s="2">
        <f t="shared" si="1"/>
        <v>0.27623677437803834</v>
      </c>
      <c r="L15" t="str">
        <f>IF(Excel_Data_Analytics_Dataset!J15&gt;15000,"Excellent",IF(Excel_Data_Analytics_Dataset!J15&gt;=5000,"Good","Poor"))</f>
        <v>Poor</v>
      </c>
      <c r="M15">
        <f>IF(Table1[[#This Row],[Category]]="Electronics",Excel_Data_Analytics_Dataset!H15*5%,Excel_Data_Analytics_Dataset!H15*8%)</f>
        <v>559.52</v>
      </c>
      <c r="N15">
        <f>SUM(H$2:H15)</f>
        <v>203330</v>
      </c>
    </row>
    <row r="16" spans="1:14" x14ac:dyDescent="0.25">
      <c r="A16">
        <v>15</v>
      </c>
      <c r="B16" s="13">
        <v>45674</v>
      </c>
      <c r="C16" t="s">
        <v>37</v>
      </c>
      <c r="D16" t="s">
        <v>10</v>
      </c>
      <c r="E16" t="s">
        <v>11</v>
      </c>
      <c r="F16" t="s">
        <v>40</v>
      </c>
      <c r="G16" t="s">
        <v>13</v>
      </c>
      <c r="H16">
        <v>6822</v>
      </c>
      <c r="I16">
        <v>5407</v>
      </c>
      <c r="J16">
        <f t="shared" si="0"/>
        <v>1415</v>
      </c>
      <c r="K16" s="2">
        <f t="shared" si="1"/>
        <v>0.20741717971269422</v>
      </c>
      <c r="L16" t="str">
        <f>IF(Excel_Data_Analytics_Dataset!J16&gt;15000,"Excellent",IF(Excel_Data_Analytics_Dataset!J16&gt;=5000,"Good","Poor"))</f>
        <v>Poor</v>
      </c>
      <c r="M16">
        <f>IF(Table1[[#This Row],[Category]]="Electronics",Excel_Data_Analytics_Dataset!H16*5%,Excel_Data_Analytics_Dataset!H16*8%)</f>
        <v>545.76</v>
      </c>
      <c r="N16">
        <f>SUM(H$2:H16)</f>
        <v>210152</v>
      </c>
    </row>
    <row r="17" spans="1:14" x14ac:dyDescent="0.25">
      <c r="A17">
        <v>16</v>
      </c>
      <c r="B17" s="13">
        <v>45675</v>
      </c>
      <c r="C17" t="s">
        <v>37</v>
      </c>
      <c r="D17" t="s">
        <v>18</v>
      </c>
      <c r="E17" t="s">
        <v>29</v>
      </c>
      <c r="F17" t="s">
        <v>34</v>
      </c>
      <c r="G17" t="s">
        <v>23</v>
      </c>
      <c r="H17">
        <v>14681</v>
      </c>
      <c r="I17">
        <v>11778</v>
      </c>
      <c r="J17">
        <f t="shared" si="0"/>
        <v>2903</v>
      </c>
      <c r="K17" s="2">
        <f t="shared" si="1"/>
        <v>0.19773857366664396</v>
      </c>
      <c r="L17" t="str">
        <f>IF(Excel_Data_Analytics_Dataset!J17&gt;15000,"Excellent",IF(Excel_Data_Analytics_Dataset!J17&gt;=5000,"Good","Poor"))</f>
        <v>Poor</v>
      </c>
      <c r="M17">
        <f>IF(Table1[[#This Row],[Category]]="Electronics",Excel_Data_Analytics_Dataset!H17*5%,Excel_Data_Analytics_Dataset!H17*8%)</f>
        <v>734.05000000000007</v>
      </c>
      <c r="N17">
        <f>SUM(H$2:H17)</f>
        <v>224833</v>
      </c>
    </row>
    <row r="18" spans="1:14" x14ac:dyDescent="0.25">
      <c r="A18">
        <v>17</v>
      </c>
      <c r="B18" s="13">
        <v>45676</v>
      </c>
      <c r="C18" t="s">
        <v>9</v>
      </c>
      <c r="D18" t="s">
        <v>18</v>
      </c>
      <c r="E18" t="s">
        <v>26</v>
      </c>
      <c r="F18" t="s">
        <v>41</v>
      </c>
      <c r="G18" t="s">
        <v>28</v>
      </c>
      <c r="H18">
        <v>21800</v>
      </c>
      <c r="I18">
        <v>16672</v>
      </c>
      <c r="J18">
        <f t="shared" si="0"/>
        <v>5128</v>
      </c>
      <c r="K18" s="2">
        <f t="shared" si="1"/>
        <v>0.23522935779816515</v>
      </c>
      <c r="L18" t="str">
        <f>IF(Excel_Data_Analytics_Dataset!J18&gt;15000,"Excellent",IF(Excel_Data_Analytics_Dataset!J18&gt;=5000,"Good","Poor"))</f>
        <v>Good</v>
      </c>
      <c r="M18">
        <f>IF(Table1[[#This Row],[Category]]="Electronics",Excel_Data_Analytics_Dataset!H18*5%,Excel_Data_Analytics_Dataset!H18*8%)</f>
        <v>1090</v>
      </c>
      <c r="N18">
        <f>SUM(H$2:H18)</f>
        <v>246633</v>
      </c>
    </row>
    <row r="19" spans="1:14" x14ac:dyDescent="0.25">
      <c r="A19">
        <v>18</v>
      </c>
      <c r="B19" s="13">
        <v>45677</v>
      </c>
      <c r="C19" t="s">
        <v>37</v>
      </c>
      <c r="D19" t="s">
        <v>18</v>
      </c>
      <c r="E19" t="s">
        <v>29</v>
      </c>
      <c r="F19" t="s">
        <v>36</v>
      </c>
      <c r="G19" t="s">
        <v>35</v>
      </c>
      <c r="H19">
        <v>27543</v>
      </c>
      <c r="I19">
        <v>21241</v>
      </c>
      <c r="J19">
        <f t="shared" si="0"/>
        <v>6302</v>
      </c>
      <c r="K19" s="2">
        <f t="shared" si="1"/>
        <v>0.22880586718948553</v>
      </c>
      <c r="L19" t="str">
        <f>IF(Excel_Data_Analytics_Dataset!J19&gt;15000,"Excellent",IF(Excel_Data_Analytics_Dataset!J19&gt;=5000,"Good","Poor"))</f>
        <v>Good</v>
      </c>
      <c r="M19">
        <f>IF(Table1[[#This Row],[Category]]="Electronics",Excel_Data_Analytics_Dataset!H19*5%,Excel_Data_Analytics_Dataset!H19*8%)</f>
        <v>1377.15</v>
      </c>
      <c r="N19">
        <f>SUM(H$2:H19)</f>
        <v>274176</v>
      </c>
    </row>
    <row r="20" spans="1:14" x14ac:dyDescent="0.25">
      <c r="A20">
        <v>19</v>
      </c>
      <c r="B20" s="13">
        <v>45678</v>
      </c>
      <c r="C20" t="s">
        <v>17</v>
      </c>
      <c r="D20" t="s">
        <v>10</v>
      </c>
      <c r="E20" t="s">
        <v>42</v>
      </c>
      <c r="F20" t="s">
        <v>20</v>
      </c>
      <c r="G20" t="s">
        <v>28</v>
      </c>
      <c r="H20">
        <v>8177</v>
      </c>
      <c r="I20">
        <v>6277</v>
      </c>
      <c r="J20">
        <f t="shared" si="0"/>
        <v>1900</v>
      </c>
      <c r="K20" s="2">
        <f t="shared" si="1"/>
        <v>0.23235905588846764</v>
      </c>
      <c r="L20" t="str">
        <f>IF(Excel_Data_Analytics_Dataset!J20&gt;15000,"Excellent",IF(Excel_Data_Analytics_Dataset!J20&gt;=5000,"Good","Poor"))</f>
        <v>Poor</v>
      </c>
      <c r="M20">
        <f>IF(Table1[[#This Row],[Category]]="Electronics",Excel_Data_Analytics_Dataset!H20*5%,Excel_Data_Analytics_Dataset!H20*8%)</f>
        <v>654.16</v>
      </c>
      <c r="N20">
        <f>SUM(H$2:H20)</f>
        <v>282353</v>
      </c>
    </row>
    <row r="21" spans="1:14" x14ac:dyDescent="0.25">
      <c r="A21">
        <v>20</v>
      </c>
      <c r="B21" s="13">
        <v>45679</v>
      </c>
      <c r="C21" t="s">
        <v>14</v>
      </c>
      <c r="D21" t="s">
        <v>18</v>
      </c>
      <c r="E21" t="s">
        <v>32</v>
      </c>
      <c r="F21" t="s">
        <v>43</v>
      </c>
      <c r="G21" t="s">
        <v>33</v>
      </c>
      <c r="H21">
        <v>17261</v>
      </c>
      <c r="I21">
        <v>14516</v>
      </c>
      <c r="J21">
        <f t="shared" si="0"/>
        <v>2745</v>
      </c>
      <c r="K21" s="2">
        <f t="shared" si="1"/>
        <v>0.15902902496958463</v>
      </c>
      <c r="L21" t="str">
        <f>IF(Excel_Data_Analytics_Dataset!J21&gt;15000,"Excellent",IF(Excel_Data_Analytics_Dataset!J21&gt;=5000,"Good","Poor"))</f>
        <v>Poor</v>
      </c>
      <c r="M21">
        <f>IF(Table1[[#This Row],[Category]]="Electronics",Excel_Data_Analytics_Dataset!H21*5%,Excel_Data_Analytics_Dataset!H21*8%)</f>
        <v>863.05000000000007</v>
      </c>
      <c r="N21">
        <f>SUM(H$2:H21)</f>
        <v>299614</v>
      </c>
    </row>
    <row r="22" spans="1:14" x14ac:dyDescent="0.25">
      <c r="A22">
        <v>21</v>
      </c>
      <c r="B22" s="13">
        <v>45680</v>
      </c>
      <c r="C22" t="s">
        <v>37</v>
      </c>
      <c r="D22" t="s">
        <v>18</v>
      </c>
      <c r="E22" t="s">
        <v>26</v>
      </c>
      <c r="F22" t="s">
        <v>44</v>
      </c>
      <c r="G22" t="s">
        <v>28</v>
      </c>
      <c r="H22">
        <v>13080</v>
      </c>
      <c r="I22">
        <v>11394</v>
      </c>
      <c r="J22">
        <f t="shared" si="0"/>
        <v>1686</v>
      </c>
      <c r="K22" s="2">
        <f t="shared" si="1"/>
        <v>0.12889908256880733</v>
      </c>
      <c r="L22" t="str">
        <f>IF(Excel_Data_Analytics_Dataset!J22&gt;15000,"Excellent",IF(Excel_Data_Analytics_Dataset!J22&gt;=5000,"Good","Poor"))</f>
        <v>Poor</v>
      </c>
      <c r="M22">
        <f>IF(Table1[[#This Row],[Category]]="Electronics",Excel_Data_Analytics_Dataset!H22*5%,Excel_Data_Analytics_Dataset!H22*8%)</f>
        <v>654</v>
      </c>
      <c r="N22">
        <f>SUM(H$2:H22)</f>
        <v>312694</v>
      </c>
    </row>
    <row r="23" spans="1:14" x14ac:dyDescent="0.25">
      <c r="A23">
        <v>22</v>
      </c>
      <c r="B23" s="13">
        <v>45681</v>
      </c>
      <c r="C23" t="s">
        <v>9</v>
      </c>
      <c r="D23" t="s">
        <v>10</v>
      </c>
      <c r="E23" t="s">
        <v>15</v>
      </c>
      <c r="F23" t="s">
        <v>45</v>
      </c>
      <c r="G23" t="s">
        <v>33</v>
      </c>
      <c r="H23">
        <v>12676</v>
      </c>
      <c r="I23">
        <v>8182</v>
      </c>
      <c r="J23">
        <f t="shared" si="0"/>
        <v>4494</v>
      </c>
      <c r="K23" s="2">
        <f t="shared" si="1"/>
        <v>0.35452824234774377</v>
      </c>
      <c r="L23" t="str">
        <f>IF(Excel_Data_Analytics_Dataset!J23&gt;15000,"Excellent",IF(Excel_Data_Analytics_Dataset!J23&gt;=5000,"Good","Poor"))</f>
        <v>Poor</v>
      </c>
      <c r="M23">
        <f>IF(Table1[[#This Row],[Category]]="Electronics",Excel_Data_Analytics_Dataset!H23*5%,Excel_Data_Analytics_Dataset!H23*8%)</f>
        <v>1014.08</v>
      </c>
      <c r="N23">
        <f>SUM(H$2:H23)</f>
        <v>325370</v>
      </c>
    </row>
    <row r="24" spans="1:14" x14ac:dyDescent="0.25">
      <c r="A24">
        <v>23</v>
      </c>
      <c r="B24" s="13">
        <v>45682</v>
      </c>
      <c r="C24" t="s">
        <v>9</v>
      </c>
      <c r="D24" t="s">
        <v>10</v>
      </c>
      <c r="E24" t="s">
        <v>21</v>
      </c>
      <c r="F24" t="s">
        <v>45</v>
      </c>
      <c r="G24" t="s">
        <v>13</v>
      </c>
      <c r="H24">
        <v>12995</v>
      </c>
      <c r="I24">
        <v>10838</v>
      </c>
      <c r="J24">
        <f t="shared" si="0"/>
        <v>2157</v>
      </c>
      <c r="K24" s="2">
        <f t="shared" si="1"/>
        <v>0.16598691804540208</v>
      </c>
      <c r="L24" t="str">
        <f>IF(Excel_Data_Analytics_Dataset!J24&gt;15000,"Excellent",IF(Excel_Data_Analytics_Dataset!J24&gt;=5000,"Good","Poor"))</f>
        <v>Poor</v>
      </c>
      <c r="M24">
        <f>IF(Table1[[#This Row],[Category]]="Electronics",Excel_Data_Analytics_Dataset!H24*5%,Excel_Data_Analytics_Dataset!H24*8%)</f>
        <v>1039.5999999999999</v>
      </c>
      <c r="N24">
        <f>SUM(H$2:H24)</f>
        <v>338365</v>
      </c>
    </row>
    <row r="25" spans="1:14" x14ac:dyDescent="0.25">
      <c r="A25">
        <v>24</v>
      </c>
      <c r="B25" s="13">
        <v>45683</v>
      </c>
      <c r="C25" t="s">
        <v>17</v>
      </c>
      <c r="D25" t="s">
        <v>10</v>
      </c>
      <c r="E25" t="s">
        <v>15</v>
      </c>
      <c r="F25" t="s">
        <v>46</v>
      </c>
      <c r="G25" t="s">
        <v>33</v>
      </c>
      <c r="H25">
        <v>26402</v>
      </c>
      <c r="I25">
        <v>22809</v>
      </c>
      <c r="J25">
        <f t="shared" si="0"/>
        <v>3593</v>
      </c>
      <c r="K25" s="2">
        <f t="shared" si="1"/>
        <v>0.13608817513824711</v>
      </c>
      <c r="L25" t="str">
        <f>IF(Excel_Data_Analytics_Dataset!J25&gt;15000,"Excellent",IF(Excel_Data_Analytics_Dataset!J25&gt;=5000,"Good","Poor"))</f>
        <v>Poor</v>
      </c>
      <c r="M25">
        <f>IF(Table1[[#This Row],[Category]]="Electronics",Excel_Data_Analytics_Dataset!H25*5%,Excel_Data_Analytics_Dataset!H25*8%)</f>
        <v>2112.16</v>
      </c>
      <c r="N25">
        <f>SUM(H$2:H25)</f>
        <v>364767</v>
      </c>
    </row>
    <row r="26" spans="1:14" x14ac:dyDescent="0.25">
      <c r="A26">
        <v>25</v>
      </c>
      <c r="B26" s="13">
        <v>45684</v>
      </c>
      <c r="C26" t="s">
        <v>17</v>
      </c>
      <c r="D26" t="s">
        <v>18</v>
      </c>
      <c r="E26" t="s">
        <v>29</v>
      </c>
      <c r="F26" t="s">
        <v>47</v>
      </c>
      <c r="G26" t="s">
        <v>33</v>
      </c>
      <c r="H26">
        <v>20499</v>
      </c>
      <c r="I26">
        <v>13107</v>
      </c>
      <c r="J26">
        <f t="shared" si="0"/>
        <v>7392</v>
      </c>
      <c r="K26" s="2">
        <f t="shared" si="1"/>
        <v>0.36060295624176791</v>
      </c>
      <c r="L26" t="str">
        <f>IF(Excel_Data_Analytics_Dataset!J26&gt;15000,"Excellent",IF(Excel_Data_Analytics_Dataset!J26&gt;=5000,"Good","Poor"))</f>
        <v>Good</v>
      </c>
      <c r="M26">
        <f>IF(Table1[[#This Row],[Category]]="Electronics",Excel_Data_Analytics_Dataset!H26*5%,Excel_Data_Analytics_Dataset!H26*8%)</f>
        <v>1024.95</v>
      </c>
      <c r="N26">
        <f>SUM(H$2:H26)</f>
        <v>385266</v>
      </c>
    </row>
    <row r="27" spans="1:14" x14ac:dyDescent="0.25">
      <c r="A27">
        <v>26</v>
      </c>
      <c r="B27" s="13">
        <v>45685</v>
      </c>
      <c r="C27" t="s">
        <v>37</v>
      </c>
      <c r="D27" t="s">
        <v>10</v>
      </c>
      <c r="E27" t="s">
        <v>11</v>
      </c>
      <c r="F27" t="s">
        <v>48</v>
      </c>
      <c r="G27" t="s">
        <v>35</v>
      </c>
      <c r="H27">
        <v>22507</v>
      </c>
      <c r="I27">
        <v>15607</v>
      </c>
      <c r="J27">
        <f t="shared" si="0"/>
        <v>6900</v>
      </c>
      <c r="K27" s="2">
        <f t="shared" si="1"/>
        <v>0.30657128893233215</v>
      </c>
      <c r="L27" t="str">
        <f>IF(Excel_Data_Analytics_Dataset!J27&gt;15000,"Excellent",IF(Excel_Data_Analytics_Dataset!J27&gt;=5000,"Good","Poor"))</f>
        <v>Good</v>
      </c>
      <c r="M27">
        <f>IF(Table1[[#This Row],[Category]]="Electronics",Excel_Data_Analytics_Dataset!H27*5%,Excel_Data_Analytics_Dataset!H27*8%)</f>
        <v>1800.56</v>
      </c>
      <c r="N27">
        <f>SUM(H$2:H27)</f>
        <v>407773</v>
      </c>
    </row>
    <row r="28" spans="1:14" x14ac:dyDescent="0.25">
      <c r="A28">
        <v>27</v>
      </c>
      <c r="B28" s="13">
        <v>45686</v>
      </c>
      <c r="C28" t="s">
        <v>37</v>
      </c>
      <c r="D28" t="s">
        <v>10</v>
      </c>
      <c r="E28" t="s">
        <v>21</v>
      </c>
      <c r="F28" t="s">
        <v>46</v>
      </c>
      <c r="G28" t="s">
        <v>35</v>
      </c>
      <c r="H28">
        <v>4786</v>
      </c>
      <c r="I28">
        <v>3412</v>
      </c>
      <c r="J28">
        <f t="shared" si="0"/>
        <v>1374</v>
      </c>
      <c r="K28" s="2">
        <f t="shared" si="1"/>
        <v>0.28708733806936898</v>
      </c>
      <c r="L28" t="str">
        <f>IF(Excel_Data_Analytics_Dataset!J28&gt;15000,"Excellent",IF(Excel_Data_Analytics_Dataset!J28&gt;=5000,"Good","Poor"))</f>
        <v>Poor</v>
      </c>
      <c r="M28">
        <f>IF(Table1[[#This Row],[Category]]="Electronics",Excel_Data_Analytics_Dataset!H28*5%,Excel_Data_Analytics_Dataset!H28*8%)</f>
        <v>382.88</v>
      </c>
      <c r="N28">
        <f>SUM(H$2:H28)</f>
        <v>412559</v>
      </c>
    </row>
    <row r="29" spans="1:14" x14ac:dyDescent="0.25">
      <c r="A29">
        <v>28</v>
      </c>
      <c r="B29" s="13">
        <v>45687</v>
      </c>
      <c r="C29" t="s">
        <v>9</v>
      </c>
      <c r="D29" t="s">
        <v>18</v>
      </c>
      <c r="E29" t="s">
        <v>26</v>
      </c>
      <c r="F29" t="s">
        <v>43</v>
      </c>
      <c r="G29" t="s">
        <v>28</v>
      </c>
      <c r="H29">
        <v>26850</v>
      </c>
      <c r="I29">
        <v>20892</v>
      </c>
      <c r="J29">
        <f t="shared" si="0"/>
        <v>5958</v>
      </c>
      <c r="K29" s="2">
        <f t="shared" si="1"/>
        <v>0.22189944134078213</v>
      </c>
      <c r="L29" t="str">
        <f>IF(Excel_Data_Analytics_Dataset!J29&gt;15000,"Excellent",IF(Excel_Data_Analytics_Dataset!J29&gt;=5000,"Good","Poor"))</f>
        <v>Good</v>
      </c>
      <c r="M29">
        <f>IF(Table1[[#This Row],[Category]]="Electronics",Excel_Data_Analytics_Dataset!H29*5%,Excel_Data_Analytics_Dataset!H29*8%)</f>
        <v>1342.5</v>
      </c>
      <c r="N29">
        <f>SUM(H$2:H29)</f>
        <v>439409</v>
      </c>
    </row>
    <row r="30" spans="1:14" x14ac:dyDescent="0.25">
      <c r="A30">
        <v>29</v>
      </c>
      <c r="B30" s="13">
        <v>45688</v>
      </c>
      <c r="C30" t="s">
        <v>37</v>
      </c>
      <c r="D30" t="s">
        <v>18</v>
      </c>
      <c r="E30" t="s">
        <v>19</v>
      </c>
      <c r="F30" t="s">
        <v>49</v>
      </c>
      <c r="G30" t="s">
        <v>23</v>
      </c>
      <c r="H30">
        <v>19466</v>
      </c>
      <c r="I30">
        <v>17460</v>
      </c>
      <c r="J30">
        <f t="shared" si="0"/>
        <v>2006</v>
      </c>
      <c r="K30" s="2">
        <f t="shared" si="1"/>
        <v>0.10305147436556046</v>
      </c>
      <c r="L30" t="str">
        <f>IF(Excel_Data_Analytics_Dataset!J30&gt;15000,"Excellent",IF(Excel_Data_Analytics_Dataset!J30&gt;=5000,"Good","Poor"))</f>
        <v>Poor</v>
      </c>
      <c r="M30">
        <f>IF(Table1[[#This Row],[Category]]="Electronics",Excel_Data_Analytics_Dataset!H30*5%,Excel_Data_Analytics_Dataset!H30*8%)</f>
        <v>973.30000000000007</v>
      </c>
      <c r="N30">
        <f>SUM(H$2:H30)</f>
        <v>458875</v>
      </c>
    </row>
    <row r="31" spans="1:14" x14ac:dyDescent="0.25">
      <c r="A31">
        <v>30</v>
      </c>
      <c r="B31" s="13">
        <v>45689</v>
      </c>
      <c r="C31" t="s">
        <v>9</v>
      </c>
      <c r="D31" t="s">
        <v>10</v>
      </c>
      <c r="E31" t="s">
        <v>15</v>
      </c>
      <c r="F31" t="s">
        <v>36</v>
      </c>
      <c r="G31" t="s">
        <v>35</v>
      </c>
      <c r="H31">
        <v>14784</v>
      </c>
      <c r="I31">
        <v>9723</v>
      </c>
      <c r="J31">
        <f t="shared" si="0"/>
        <v>5061</v>
      </c>
      <c r="K31" s="2">
        <f t="shared" si="1"/>
        <v>0.34232954545454547</v>
      </c>
      <c r="L31" t="str">
        <f>IF(Excel_Data_Analytics_Dataset!J31&gt;15000,"Excellent",IF(Excel_Data_Analytics_Dataset!J31&gt;=5000,"Good","Poor"))</f>
        <v>Good</v>
      </c>
      <c r="M31">
        <f>IF(Table1[[#This Row],[Category]]="Electronics",Excel_Data_Analytics_Dataset!H31*5%,Excel_Data_Analytics_Dataset!H31*8%)</f>
        <v>1182.72</v>
      </c>
      <c r="N31">
        <f>SUM(H$2:H31)</f>
        <v>473659</v>
      </c>
    </row>
    <row r="32" spans="1:14" x14ac:dyDescent="0.25">
      <c r="A32">
        <v>31</v>
      </c>
      <c r="B32" s="13">
        <v>45690</v>
      </c>
      <c r="C32" t="s">
        <v>9</v>
      </c>
      <c r="D32" t="s">
        <v>18</v>
      </c>
      <c r="E32" t="s">
        <v>29</v>
      </c>
      <c r="F32" t="s">
        <v>50</v>
      </c>
      <c r="G32" t="s">
        <v>35</v>
      </c>
      <c r="H32">
        <v>28085</v>
      </c>
      <c r="I32">
        <v>22509</v>
      </c>
      <c r="J32">
        <f t="shared" si="0"/>
        <v>5576</v>
      </c>
      <c r="K32" s="2">
        <f t="shared" si="1"/>
        <v>0.19854014598540146</v>
      </c>
      <c r="L32" t="str">
        <f>IF(Excel_Data_Analytics_Dataset!J32&gt;15000,"Excellent",IF(Excel_Data_Analytics_Dataset!J32&gt;=5000,"Good","Poor"))</f>
        <v>Good</v>
      </c>
      <c r="M32">
        <f>IF(Table1[[#This Row],[Category]]="Electronics",Excel_Data_Analytics_Dataset!H32*5%,Excel_Data_Analytics_Dataset!H32*8%)</f>
        <v>1404.25</v>
      </c>
      <c r="N32">
        <f>SUM(H$2:H32)</f>
        <v>501744</v>
      </c>
    </row>
    <row r="33" spans="1:14" x14ac:dyDescent="0.25">
      <c r="A33">
        <v>32</v>
      </c>
      <c r="B33" s="13">
        <v>45691</v>
      </c>
      <c r="C33" t="s">
        <v>37</v>
      </c>
      <c r="D33" t="s">
        <v>18</v>
      </c>
      <c r="E33" t="s">
        <v>26</v>
      </c>
      <c r="F33" t="s">
        <v>51</v>
      </c>
      <c r="G33" t="s">
        <v>33</v>
      </c>
      <c r="H33">
        <v>11264</v>
      </c>
      <c r="I33">
        <v>9957</v>
      </c>
      <c r="J33">
        <f t="shared" si="0"/>
        <v>1307</v>
      </c>
      <c r="K33" s="2">
        <f t="shared" si="1"/>
        <v>0.11603338068181818</v>
      </c>
      <c r="L33" t="str">
        <f>IF(Excel_Data_Analytics_Dataset!J33&gt;15000,"Excellent",IF(Excel_Data_Analytics_Dataset!J33&gt;=5000,"Good","Poor"))</f>
        <v>Poor</v>
      </c>
      <c r="M33">
        <f>IF(Table1[[#This Row],[Category]]="Electronics",Excel_Data_Analytics_Dataset!H33*5%,Excel_Data_Analytics_Dataset!H33*8%)</f>
        <v>563.20000000000005</v>
      </c>
      <c r="N33">
        <f>SUM(H$2:H33)</f>
        <v>513008</v>
      </c>
    </row>
    <row r="34" spans="1:14" x14ac:dyDescent="0.25">
      <c r="A34">
        <v>33</v>
      </c>
      <c r="B34" s="13">
        <v>45692</v>
      </c>
      <c r="C34" t="s">
        <v>17</v>
      </c>
      <c r="D34" t="s">
        <v>18</v>
      </c>
      <c r="E34" t="s">
        <v>29</v>
      </c>
      <c r="F34" t="s">
        <v>44</v>
      </c>
      <c r="G34" t="s">
        <v>28</v>
      </c>
      <c r="H34">
        <v>10384</v>
      </c>
      <c r="I34">
        <v>7534</v>
      </c>
      <c r="J34">
        <f t="shared" si="0"/>
        <v>2850</v>
      </c>
      <c r="K34" s="2">
        <f t="shared" si="1"/>
        <v>0.2744607087827427</v>
      </c>
      <c r="L34" t="str">
        <f>IF(Excel_Data_Analytics_Dataset!J34&gt;15000,"Excellent",IF(Excel_Data_Analytics_Dataset!J34&gt;=5000,"Good","Poor"))</f>
        <v>Poor</v>
      </c>
      <c r="M34">
        <f>IF(Table1[[#This Row],[Category]]="Electronics",Excel_Data_Analytics_Dataset!H34*5%,Excel_Data_Analytics_Dataset!H34*8%)</f>
        <v>519.20000000000005</v>
      </c>
      <c r="N34">
        <f>SUM(H$2:H34)</f>
        <v>523392</v>
      </c>
    </row>
    <row r="35" spans="1:14" x14ac:dyDescent="0.25">
      <c r="A35">
        <v>34</v>
      </c>
      <c r="B35" s="13">
        <v>45693</v>
      </c>
      <c r="C35" t="s">
        <v>14</v>
      </c>
      <c r="D35" t="s">
        <v>18</v>
      </c>
      <c r="E35" t="s">
        <v>19</v>
      </c>
      <c r="F35" t="s">
        <v>39</v>
      </c>
      <c r="G35" t="s">
        <v>33</v>
      </c>
      <c r="H35">
        <v>13816</v>
      </c>
      <c r="I35">
        <v>9688</v>
      </c>
      <c r="J35">
        <f t="shared" si="0"/>
        <v>4128</v>
      </c>
      <c r="K35" s="2">
        <f t="shared" si="1"/>
        <v>0.29878401852924147</v>
      </c>
      <c r="L35" t="str">
        <f>IF(Excel_Data_Analytics_Dataset!J35&gt;15000,"Excellent",IF(Excel_Data_Analytics_Dataset!J35&gt;=5000,"Good","Poor"))</f>
        <v>Poor</v>
      </c>
      <c r="M35">
        <f>IF(Table1[[#This Row],[Category]]="Electronics",Excel_Data_Analytics_Dataset!H35*5%,Excel_Data_Analytics_Dataset!H35*8%)</f>
        <v>690.80000000000007</v>
      </c>
      <c r="N35">
        <f>SUM(H$2:H35)</f>
        <v>537208</v>
      </c>
    </row>
    <row r="36" spans="1:14" x14ac:dyDescent="0.25">
      <c r="A36">
        <v>35</v>
      </c>
      <c r="B36" s="13">
        <v>45694</v>
      </c>
      <c r="C36" t="s">
        <v>9</v>
      </c>
      <c r="D36" t="s">
        <v>10</v>
      </c>
      <c r="E36" t="s">
        <v>15</v>
      </c>
      <c r="F36" t="s">
        <v>52</v>
      </c>
      <c r="G36" t="s">
        <v>13</v>
      </c>
      <c r="H36">
        <v>19945</v>
      </c>
      <c r="I36">
        <v>17781</v>
      </c>
      <c r="J36">
        <f t="shared" si="0"/>
        <v>2164</v>
      </c>
      <c r="K36" s="2">
        <f t="shared" si="1"/>
        <v>0.10849837051892705</v>
      </c>
      <c r="L36" t="str">
        <f>IF(Excel_Data_Analytics_Dataset!J36&gt;15000,"Excellent",IF(Excel_Data_Analytics_Dataset!J36&gt;=5000,"Good","Poor"))</f>
        <v>Poor</v>
      </c>
      <c r="M36">
        <f>IF(Table1[[#This Row],[Category]]="Electronics",Excel_Data_Analytics_Dataset!H36*5%,Excel_Data_Analytics_Dataset!H36*8%)</f>
        <v>1595.6000000000001</v>
      </c>
      <c r="N36">
        <f>SUM(H$2:H36)</f>
        <v>557153</v>
      </c>
    </row>
    <row r="37" spans="1:14" x14ac:dyDescent="0.25">
      <c r="A37">
        <v>36</v>
      </c>
      <c r="B37" s="13">
        <v>45695</v>
      </c>
      <c r="C37" t="s">
        <v>9</v>
      </c>
      <c r="D37" t="s">
        <v>10</v>
      </c>
      <c r="E37" t="s">
        <v>15</v>
      </c>
      <c r="F37" t="s">
        <v>40</v>
      </c>
      <c r="G37" t="s">
        <v>28</v>
      </c>
      <c r="H37">
        <v>12316</v>
      </c>
      <c r="I37">
        <v>10577</v>
      </c>
      <c r="J37">
        <f t="shared" si="0"/>
        <v>1739</v>
      </c>
      <c r="K37" s="2">
        <f t="shared" si="1"/>
        <v>0.14119844105228971</v>
      </c>
      <c r="L37" t="str">
        <f>IF(Excel_Data_Analytics_Dataset!J37&gt;15000,"Excellent",IF(Excel_Data_Analytics_Dataset!J37&gt;=5000,"Good","Poor"))</f>
        <v>Poor</v>
      </c>
      <c r="M37">
        <f>IF(Table1[[#This Row],[Category]]="Electronics",Excel_Data_Analytics_Dataset!H37*5%,Excel_Data_Analytics_Dataset!H37*8%)</f>
        <v>985.28</v>
      </c>
      <c r="N37">
        <f>SUM(H$2:H37)</f>
        <v>569469</v>
      </c>
    </row>
    <row r="38" spans="1:14" x14ac:dyDescent="0.25">
      <c r="A38">
        <v>37</v>
      </c>
      <c r="B38" s="13">
        <v>45696</v>
      </c>
      <c r="C38" t="s">
        <v>9</v>
      </c>
      <c r="D38" t="s">
        <v>18</v>
      </c>
      <c r="E38" t="s">
        <v>26</v>
      </c>
      <c r="F38" t="s">
        <v>53</v>
      </c>
      <c r="G38" t="s">
        <v>33</v>
      </c>
      <c r="H38">
        <v>5269</v>
      </c>
      <c r="I38">
        <v>3833</v>
      </c>
      <c r="J38">
        <f t="shared" si="0"/>
        <v>1436</v>
      </c>
      <c r="K38" s="2">
        <f t="shared" si="1"/>
        <v>0.27253748339343331</v>
      </c>
      <c r="L38" t="str">
        <f>IF(Excel_Data_Analytics_Dataset!J38&gt;15000,"Excellent",IF(Excel_Data_Analytics_Dataset!J38&gt;=5000,"Good","Poor"))</f>
        <v>Poor</v>
      </c>
      <c r="M38">
        <f>IF(Table1[[#This Row],[Category]]="Electronics",Excel_Data_Analytics_Dataset!H38*5%,Excel_Data_Analytics_Dataset!H38*8%)</f>
        <v>263.45</v>
      </c>
      <c r="N38">
        <f>SUM(H$2:H38)</f>
        <v>574738</v>
      </c>
    </row>
    <row r="39" spans="1:14" x14ac:dyDescent="0.25">
      <c r="A39">
        <v>38</v>
      </c>
      <c r="B39" s="13">
        <v>45697</v>
      </c>
      <c r="C39" t="s">
        <v>14</v>
      </c>
      <c r="D39" t="s">
        <v>10</v>
      </c>
      <c r="E39" t="s">
        <v>15</v>
      </c>
      <c r="F39" t="s">
        <v>43</v>
      </c>
      <c r="G39" t="s">
        <v>33</v>
      </c>
      <c r="H39">
        <v>23738</v>
      </c>
      <c r="I39">
        <v>16560</v>
      </c>
      <c r="J39">
        <f t="shared" si="0"/>
        <v>7178</v>
      </c>
      <c r="K39" s="2">
        <f t="shared" si="1"/>
        <v>0.30238436262532647</v>
      </c>
      <c r="L39" t="str">
        <f>IF(Excel_Data_Analytics_Dataset!J39&gt;15000,"Excellent",IF(Excel_Data_Analytics_Dataset!J39&gt;=5000,"Good","Poor"))</f>
        <v>Good</v>
      </c>
      <c r="M39">
        <f>IF(Table1[[#This Row],[Category]]="Electronics",Excel_Data_Analytics_Dataset!H39*5%,Excel_Data_Analytics_Dataset!H39*8%)</f>
        <v>1899.04</v>
      </c>
      <c r="N39">
        <f>SUM(H$2:H39)</f>
        <v>598476</v>
      </c>
    </row>
    <row r="40" spans="1:14" x14ac:dyDescent="0.25">
      <c r="A40">
        <v>39</v>
      </c>
      <c r="B40" s="13">
        <v>45698</v>
      </c>
      <c r="C40" t="s">
        <v>37</v>
      </c>
      <c r="D40" t="s">
        <v>10</v>
      </c>
      <c r="E40" t="s">
        <v>11</v>
      </c>
      <c r="F40" t="s">
        <v>27</v>
      </c>
      <c r="G40" t="s">
        <v>23</v>
      </c>
      <c r="H40">
        <v>23819</v>
      </c>
      <c r="I40">
        <v>17508</v>
      </c>
      <c r="J40">
        <f t="shared" si="0"/>
        <v>6311</v>
      </c>
      <c r="K40" s="2">
        <f t="shared" si="1"/>
        <v>0.26495654729417689</v>
      </c>
      <c r="L40" t="str">
        <f>IF(Excel_Data_Analytics_Dataset!J40&gt;15000,"Excellent",IF(Excel_Data_Analytics_Dataset!J40&gt;=5000,"Good","Poor"))</f>
        <v>Good</v>
      </c>
      <c r="M40">
        <f>IF(Table1[[#This Row],[Category]]="Electronics",Excel_Data_Analytics_Dataset!H40*5%,Excel_Data_Analytics_Dataset!H40*8%)</f>
        <v>1905.52</v>
      </c>
      <c r="N40">
        <f>SUM(H$2:H40)</f>
        <v>622295</v>
      </c>
    </row>
    <row r="41" spans="1:14" x14ac:dyDescent="0.25">
      <c r="A41">
        <v>40</v>
      </c>
      <c r="B41" s="13">
        <v>45699</v>
      </c>
      <c r="C41" t="s">
        <v>14</v>
      </c>
      <c r="D41" t="s">
        <v>18</v>
      </c>
      <c r="E41" t="s">
        <v>26</v>
      </c>
      <c r="F41" t="s">
        <v>38</v>
      </c>
      <c r="G41" t="s">
        <v>23</v>
      </c>
      <c r="H41">
        <v>4280</v>
      </c>
      <c r="I41">
        <v>2925</v>
      </c>
      <c r="J41">
        <f t="shared" si="0"/>
        <v>1355</v>
      </c>
      <c r="K41" s="2">
        <f t="shared" si="1"/>
        <v>0.31658878504672899</v>
      </c>
      <c r="L41" t="str">
        <f>IF(Excel_Data_Analytics_Dataset!J41&gt;15000,"Excellent",IF(Excel_Data_Analytics_Dataset!J41&gt;=5000,"Good","Poor"))</f>
        <v>Poor</v>
      </c>
      <c r="M41">
        <f>IF(Table1[[#This Row],[Category]]="Electronics",Excel_Data_Analytics_Dataset!H41*5%,Excel_Data_Analytics_Dataset!H41*8%)</f>
        <v>214</v>
      </c>
      <c r="N41">
        <f>SUM(H$2:H41)</f>
        <v>626575</v>
      </c>
    </row>
    <row r="42" spans="1:14" x14ac:dyDescent="0.25">
      <c r="A42">
        <v>41</v>
      </c>
      <c r="B42" s="13">
        <v>45700</v>
      </c>
      <c r="C42" t="s">
        <v>17</v>
      </c>
      <c r="D42" t="s">
        <v>18</v>
      </c>
      <c r="E42" t="s">
        <v>26</v>
      </c>
      <c r="F42" t="s">
        <v>54</v>
      </c>
      <c r="G42" t="s">
        <v>33</v>
      </c>
      <c r="H42">
        <v>18083</v>
      </c>
      <c r="I42">
        <v>13861</v>
      </c>
      <c r="J42">
        <f t="shared" si="0"/>
        <v>4222</v>
      </c>
      <c r="K42" s="2">
        <f t="shared" si="1"/>
        <v>0.23347895813747718</v>
      </c>
      <c r="L42" t="str">
        <f>IF(Excel_Data_Analytics_Dataset!J42&gt;15000,"Excellent",IF(Excel_Data_Analytics_Dataset!J42&gt;=5000,"Good","Poor"))</f>
        <v>Poor</v>
      </c>
      <c r="M42">
        <f>IF(Table1[[#This Row],[Category]]="Electronics",Excel_Data_Analytics_Dataset!H42*5%,Excel_Data_Analytics_Dataset!H42*8%)</f>
        <v>904.15000000000009</v>
      </c>
      <c r="N42">
        <f>SUM(H$2:H42)</f>
        <v>644658</v>
      </c>
    </row>
    <row r="43" spans="1:14" x14ac:dyDescent="0.25">
      <c r="A43">
        <v>42</v>
      </c>
      <c r="B43" s="13">
        <v>45701</v>
      </c>
      <c r="C43" t="s">
        <v>14</v>
      </c>
      <c r="D43" t="s">
        <v>10</v>
      </c>
      <c r="E43" t="s">
        <v>15</v>
      </c>
      <c r="F43" t="s">
        <v>46</v>
      </c>
      <c r="G43" t="s">
        <v>13</v>
      </c>
      <c r="H43">
        <v>22615</v>
      </c>
      <c r="I43">
        <v>14629</v>
      </c>
      <c r="J43">
        <f t="shared" si="0"/>
        <v>7986</v>
      </c>
      <c r="K43" s="2">
        <f t="shared" si="1"/>
        <v>0.35312845456555386</v>
      </c>
      <c r="L43" t="str">
        <f>IF(Excel_Data_Analytics_Dataset!J43&gt;15000,"Excellent",IF(Excel_Data_Analytics_Dataset!J43&gt;=5000,"Good","Poor"))</f>
        <v>Good</v>
      </c>
      <c r="M43">
        <f>IF(Table1[[#This Row],[Category]]="Electronics",Excel_Data_Analytics_Dataset!H43*5%,Excel_Data_Analytics_Dataset!H43*8%)</f>
        <v>1809.2</v>
      </c>
      <c r="N43">
        <f>SUM(H$2:H43)</f>
        <v>667273</v>
      </c>
    </row>
    <row r="44" spans="1:14" x14ac:dyDescent="0.25">
      <c r="A44">
        <v>43</v>
      </c>
      <c r="B44" s="13">
        <v>45702</v>
      </c>
      <c r="C44" t="s">
        <v>17</v>
      </c>
      <c r="D44" t="s">
        <v>18</v>
      </c>
      <c r="E44" t="s">
        <v>32</v>
      </c>
      <c r="F44" t="s">
        <v>12</v>
      </c>
      <c r="G44" t="s">
        <v>33</v>
      </c>
      <c r="H44">
        <v>16811</v>
      </c>
      <c r="I44">
        <v>13746</v>
      </c>
      <c r="J44">
        <f t="shared" si="0"/>
        <v>3065</v>
      </c>
      <c r="K44" s="2">
        <f t="shared" si="1"/>
        <v>0.18232109928023318</v>
      </c>
      <c r="L44" t="str">
        <f>IF(Excel_Data_Analytics_Dataset!J44&gt;15000,"Excellent",IF(Excel_Data_Analytics_Dataset!J44&gt;=5000,"Good","Poor"))</f>
        <v>Poor</v>
      </c>
      <c r="M44">
        <f>IF(Table1[[#This Row],[Category]]="Electronics",Excel_Data_Analytics_Dataset!H44*5%,Excel_Data_Analytics_Dataset!H44*8%)</f>
        <v>840.55000000000007</v>
      </c>
      <c r="N44">
        <f>SUM(H$2:H44)</f>
        <v>684084</v>
      </c>
    </row>
    <row r="45" spans="1:14" x14ac:dyDescent="0.25">
      <c r="A45">
        <v>44</v>
      </c>
      <c r="B45" s="13">
        <v>45703</v>
      </c>
      <c r="C45" t="s">
        <v>37</v>
      </c>
      <c r="D45" t="s">
        <v>10</v>
      </c>
      <c r="E45" t="s">
        <v>21</v>
      </c>
      <c r="F45" t="s">
        <v>53</v>
      </c>
      <c r="G45" t="s">
        <v>13</v>
      </c>
      <c r="H45">
        <v>12859</v>
      </c>
      <c r="I45">
        <v>8499</v>
      </c>
      <c r="J45">
        <f t="shared" si="0"/>
        <v>4360</v>
      </c>
      <c r="K45" s="2">
        <f t="shared" si="1"/>
        <v>0.33906213546932112</v>
      </c>
      <c r="L45" t="str">
        <f>IF(Excel_Data_Analytics_Dataset!J45&gt;15000,"Excellent",IF(Excel_Data_Analytics_Dataset!J45&gt;=5000,"Good","Poor"))</f>
        <v>Poor</v>
      </c>
      <c r="M45">
        <f>IF(Table1[[#This Row],[Category]]="Electronics",Excel_Data_Analytics_Dataset!H45*5%,Excel_Data_Analytics_Dataset!H45*8%)</f>
        <v>1028.72</v>
      </c>
      <c r="N45">
        <f>SUM(H$2:H45)</f>
        <v>696943</v>
      </c>
    </row>
    <row r="46" spans="1:14" x14ac:dyDescent="0.25">
      <c r="A46">
        <v>45</v>
      </c>
      <c r="B46" s="13">
        <v>45704</v>
      </c>
      <c r="C46" t="s">
        <v>37</v>
      </c>
      <c r="D46" t="s">
        <v>18</v>
      </c>
      <c r="E46" t="s">
        <v>29</v>
      </c>
      <c r="F46" t="s">
        <v>41</v>
      </c>
      <c r="G46" t="s">
        <v>33</v>
      </c>
      <c r="H46">
        <v>9025</v>
      </c>
      <c r="I46">
        <v>5975</v>
      </c>
      <c r="J46">
        <f t="shared" si="0"/>
        <v>3050</v>
      </c>
      <c r="K46" s="2">
        <f t="shared" si="1"/>
        <v>0.33795013850415512</v>
      </c>
      <c r="L46" t="str">
        <f>IF(Excel_Data_Analytics_Dataset!J46&gt;15000,"Excellent",IF(Excel_Data_Analytics_Dataset!J46&gt;=5000,"Good","Poor"))</f>
        <v>Poor</v>
      </c>
      <c r="M46">
        <f>IF(Table1[[#This Row],[Category]]="Electronics",Excel_Data_Analytics_Dataset!H46*5%,Excel_Data_Analytics_Dataset!H46*8%)</f>
        <v>451.25</v>
      </c>
      <c r="N46">
        <f>SUM(H$2:H46)</f>
        <v>705968</v>
      </c>
    </row>
    <row r="47" spans="1:14" x14ac:dyDescent="0.25">
      <c r="A47">
        <v>46</v>
      </c>
      <c r="B47" s="13">
        <v>45705</v>
      </c>
      <c r="C47" t="s">
        <v>14</v>
      </c>
      <c r="D47" t="s">
        <v>10</v>
      </c>
      <c r="E47" t="s">
        <v>42</v>
      </c>
      <c r="F47" t="s">
        <v>52</v>
      </c>
      <c r="G47" t="s">
        <v>35</v>
      </c>
      <c r="H47">
        <v>27125</v>
      </c>
      <c r="I47">
        <v>24151</v>
      </c>
      <c r="J47">
        <f t="shared" si="0"/>
        <v>2974</v>
      </c>
      <c r="K47" s="2">
        <f t="shared" si="1"/>
        <v>0.1096405529953917</v>
      </c>
      <c r="L47" t="str">
        <f>IF(Excel_Data_Analytics_Dataset!J47&gt;15000,"Excellent",IF(Excel_Data_Analytics_Dataset!J47&gt;=5000,"Good","Poor"))</f>
        <v>Poor</v>
      </c>
      <c r="M47">
        <f>IF(Table1[[#This Row],[Category]]="Electronics",Excel_Data_Analytics_Dataset!H47*5%,Excel_Data_Analytics_Dataset!H47*8%)</f>
        <v>2170</v>
      </c>
      <c r="N47">
        <f>SUM(H$2:H47)</f>
        <v>733093</v>
      </c>
    </row>
    <row r="48" spans="1:14" x14ac:dyDescent="0.25">
      <c r="A48">
        <v>47</v>
      </c>
      <c r="B48" s="13">
        <v>45706</v>
      </c>
      <c r="C48" t="s">
        <v>37</v>
      </c>
      <c r="D48" t="s">
        <v>18</v>
      </c>
      <c r="E48" t="s">
        <v>32</v>
      </c>
      <c r="F48" t="s">
        <v>53</v>
      </c>
      <c r="G48" t="s">
        <v>28</v>
      </c>
      <c r="H48">
        <v>4910</v>
      </c>
      <c r="I48">
        <v>3805</v>
      </c>
      <c r="J48">
        <f t="shared" si="0"/>
        <v>1105</v>
      </c>
      <c r="K48" s="2">
        <f t="shared" si="1"/>
        <v>0.225050916496945</v>
      </c>
      <c r="L48" t="str">
        <f>IF(Excel_Data_Analytics_Dataset!J48&gt;15000,"Excellent",IF(Excel_Data_Analytics_Dataset!J48&gt;=5000,"Good","Poor"))</f>
        <v>Poor</v>
      </c>
      <c r="M48">
        <f>IF(Table1[[#This Row],[Category]]="Electronics",Excel_Data_Analytics_Dataset!H48*5%,Excel_Data_Analytics_Dataset!H48*8%)</f>
        <v>245.5</v>
      </c>
      <c r="N48">
        <f>SUM(H$2:H48)</f>
        <v>738003</v>
      </c>
    </row>
    <row r="49" spans="1:14" x14ac:dyDescent="0.25">
      <c r="A49">
        <v>48</v>
      </c>
      <c r="B49" s="13">
        <v>45707</v>
      </c>
      <c r="C49" t="s">
        <v>17</v>
      </c>
      <c r="D49" t="s">
        <v>10</v>
      </c>
      <c r="E49" t="s">
        <v>42</v>
      </c>
      <c r="F49" t="s">
        <v>50</v>
      </c>
      <c r="G49" t="s">
        <v>33</v>
      </c>
      <c r="H49">
        <v>13768</v>
      </c>
      <c r="I49">
        <v>10313</v>
      </c>
      <c r="J49">
        <f t="shared" si="0"/>
        <v>3455</v>
      </c>
      <c r="K49" s="2">
        <f t="shared" si="1"/>
        <v>0.25094421847762927</v>
      </c>
      <c r="L49" t="str">
        <f>IF(Excel_Data_Analytics_Dataset!J49&gt;15000,"Excellent",IF(Excel_Data_Analytics_Dataset!J49&gt;=5000,"Good","Poor"))</f>
        <v>Poor</v>
      </c>
      <c r="M49">
        <f>IF(Table1[[#This Row],[Category]]="Electronics",Excel_Data_Analytics_Dataset!H49*5%,Excel_Data_Analytics_Dataset!H49*8%)</f>
        <v>1101.44</v>
      </c>
      <c r="N49">
        <f>SUM(H$2:H49)</f>
        <v>751771</v>
      </c>
    </row>
    <row r="50" spans="1:14" x14ac:dyDescent="0.25">
      <c r="A50">
        <v>49</v>
      </c>
      <c r="B50" s="13">
        <v>45708</v>
      </c>
      <c r="C50" t="s">
        <v>17</v>
      </c>
      <c r="D50" t="s">
        <v>10</v>
      </c>
      <c r="E50" t="s">
        <v>15</v>
      </c>
      <c r="F50" t="s">
        <v>44</v>
      </c>
      <c r="G50" t="s">
        <v>35</v>
      </c>
      <c r="H50">
        <v>28518</v>
      </c>
      <c r="I50">
        <v>25660</v>
      </c>
      <c r="J50">
        <f t="shared" si="0"/>
        <v>2858</v>
      </c>
      <c r="K50" s="2">
        <f t="shared" si="1"/>
        <v>0.10021740655024897</v>
      </c>
      <c r="L50" t="str">
        <f>IF(Excel_Data_Analytics_Dataset!J50&gt;15000,"Excellent",IF(Excel_Data_Analytics_Dataset!J50&gt;=5000,"Good","Poor"))</f>
        <v>Poor</v>
      </c>
      <c r="M50">
        <f>IF(Table1[[#This Row],[Category]]="Electronics",Excel_Data_Analytics_Dataset!H50*5%,Excel_Data_Analytics_Dataset!H50*8%)</f>
        <v>2281.44</v>
      </c>
      <c r="N50">
        <f>SUM(H$2:H50)</f>
        <v>780289</v>
      </c>
    </row>
    <row r="51" spans="1:14" x14ac:dyDescent="0.25">
      <c r="A51">
        <v>50</v>
      </c>
      <c r="B51" s="13">
        <v>45709</v>
      </c>
      <c r="C51" t="s">
        <v>37</v>
      </c>
      <c r="D51" t="s">
        <v>10</v>
      </c>
      <c r="E51" t="s">
        <v>11</v>
      </c>
      <c r="F51" t="s">
        <v>54</v>
      </c>
      <c r="G51" t="s">
        <v>28</v>
      </c>
      <c r="H51">
        <v>24630</v>
      </c>
      <c r="I51">
        <v>16859</v>
      </c>
      <c r="J51">
        <f t="shared" si="0"/>
        <v>7771</v>
      </c>
      <c r="K51" s="2">
        <f t="shared" si="1"/>
        <v>0.3155095412099066</v>
      </c>
      <c r="L51" t="str">
        <f>IF(Excel_Data_Analytics_Dataset!J51&gt;15000,"Excellent",IF(Excel_Data_Analytics_Dataset!J51&gt;=5000,"Good","Poor"))</f>
        <v>Good</v>
      </c>
      <c r="M51">
        <f>IF(Table1[[#This Row],[Category]]="Electronics",Excel_Data_Analytics_Dataset!H51*5%,Excel_Data_Analytics_Dataset!H51*8%)</f>
        <v>1970.4</v>
      </c>
      <c r="N51">
        <f>SUM(H$2:H51)</f>
        <v>804919</v>
      </c>
    </row>
    <row r="52" spans="1:14" x14ac:dyDescent="0.25">
      <c r="A52">
        <v>51</v>
      </c>
      <c r="B52" s="13">
        <v>45710</v>
      </c>
      <c r="C52" t="s">
        <v>17</v>
      </c>
      <c r="D52" t="s">
        <v>18</v>
      </c>
      <c r="E52" t="s">
        <v>19</v>
      </c>
      <c r="F52" t="s">
        <v>24</v>
      </c>
      <c r="G52" t="s">
        <v>33</v>
      </c>
      <c r="H52">
        <v>5943</v>
      </c>
      <c r="I52">
        <v>4384</v>
      </c>
      <c r="J52">
        <f t="shared" si="0"/>
        <v>1559</v>
      </c>
      <c r="K52" s="2">
        <f t="shared" si="1"/>
        <v>0.26232542486959448</v>
      </c>
      <c r="L52" t="str">
        <f>IF(Excel_Data_Analytics_Dataset!J52&gt;15000,"Excellent",IF(Excel_Data_Analytics_Dataset!J52&gt;=5000,"Good","Poor"))</f>
        <v>Poor</v>
      </c>
      <c r="M52">
        <f>IF(Table1[[#This Row],[Category]]="Electronics",Excel_Data_Analytics_Dataset!H52*5%,Excel_Data_Analytics_Dataset!H52*8%)</f>
        <v>297.15000000000003</v>
      </c>
      <c r="N52">
        <f>SUM(H$2:H52)</f>
        <v>810862</v>
      </c>
    </row>
    <row r="53" spans="1:14" x14ac:dyDescent="0.25">
      <c r="A53">
        <v>52</v>
      </c>
      <c r="B53" s="13">
        <v>45711</v>
      </c>
      <c r="C53" t="s">
        <v>9</v>
      </c>
      <c r="D53" t="s">
        <v>10</v>
      </c>
      <c r="E53" t="s">
        <v>42</v>
      </c>
      <c r="F53" t="s">
        <v>52</v>
      </c>
      <c r="G53" t="s">
        <v>13</v>
      </c>
      <c r="H53">
        <v>12216</v>
      </c>
      <c r="I53">
        <v>8895</v>
      </c>
      <c r="J53">
        <f t="shared" si="0"/>
        <v>3321</v>
      </c>
      <c r="K53" s="2">
        <f t="shared" si="1"/>
        <v>0.27185658153241649</v>
      </c>
      <c r="L53" t="str">
        <f>IF(Excel_Data_Analytics_Dataset!J53&gt;15000,"Excellent",IF(Excel_Data_Analytics_Dataset!J53&gt;=5000,"Good","Poor"))</f>
        <v>Poor</v>
      </c>
      <c r="M53">
        <f>IF(Table1[[#This Row],[Category]]="Electronics",Excel_Data_Analytics_Dataset!H53*5%,Excel_Data_Analytics_Dataset!H53*8%)</f>
        <v>977.28</v>
      </c>
      <c r="N53">
        <f>SUM(H$2:H53)</f>
        <v>823078</v>
      </c>
    </row>
    <row r="54" spans="1:14" x14ac:dyDescent="0.25">
      <c r="A54">
        <v>53</v>
      </c>
      <c r="B54" s="13">
        <v>45712</v>
      </c>
      <c r="C54" t="s">
        <v>14</v>
      </c>
      <c r="D54" t="s">
        <v>10</v>
      </c>
      <c r="E54" t="s">
        <v>42</v>
      </c>
      <c r="F54" t="s">
        <v>30</v>
      </c>
      <c r="G54" t="s">
        <v>28</v>
      </c>
      <c r="H54">
        <v>22306</v>
      </c>
      <c r="I54">
        <v>15746</v>
      </c>
      <c r="J54">
        <f t="shared" si="0"/>
        <v>6560</v>
      </c>
      <c r="K54" s="2">
        <f t="shared" si="1"/>
        <v>0.29409127588989509</v>
      </c>
      <c r="L54" t="str">
        <f>IF(Excel_Data_Analytics_Dataset!J54&gt;15000,"Excellent",IF(Excel_Data_Analytics_Dataset!J54&gt;=5000,"Good","Poor"))</f>
        <v>Good</v>
      </c>
      <c r="M54">
        <f>IF(Table1[[#This Row],[Category]]="Electronics",Excel_Data_Analytics_Dataset!H54*5%,Excel_Data_Analytics_Dataset!H54*8%)</f>
        <v>1784.48</v>
      </c>
      <c r="N54">
        <f>SUM(H$2:H54)</f>
        <v>845384</v>
      </c>
    </row>
    <row r="55" spans="1:14" x14ac:dyDescent="0.25">
      <c r="A55">
        <v>54</v>
      </c>
      <c r="B55" s="13">
        <v>45713</v>
      </c>
      <c r="C55" t="s">
        <v>17</v>
      </c>
      <c r="D55" t="s">
        <v>10</v>
      </c>
      <c r="E55" t="s">
        <v>15</v>
      </c>
      <c r="F55" t="s">
        <v>20</v>
      </c>
      <c r="G55" t="s">
        <v>23</v>
      </c>
      <c r="H55">
        <v>17746</v>
      </c>
      <c r="I55">
        <v>11244</v>
      </c>
      <c r="J55">
        <f t="shared" si="0"/>
        <v>6502</v>
      </c>
      <c r="K55" s="2">
        <f t="shared" si="1"/>
        <v>0.36639242646230136</v>
      </c>
      <c r="L55" t="str">
        <f>IF(Excel_Data_Analytics_Dataset!J55&gt;15000,"Excellent",IF(Excel_Data_Analytics_Dataset!J55&gt;=5000,"Good","Poor"))</f>
        <v>Good</v>
      </c>
      <c r="M55">
        <f>IF(Table1[[#This Row],[Category]]="Electronics",Excel_Data_Analytics_Dataset!H55*5%,Excel_Data_Analytics_Dataset!H55*8%)</f>
        <v>1419.68</v>
      </c>
      <c r="N55">
        <f>SUM(H$2:H55)</f>
        <v>863130</v>
      </c>
    </row>
    <row r="56" spans="1:14" x14ac:dyDescent="0.25">
      <c r="A56">
        <v>55</v>
      </c>
      <c r="B56" s="13">
        <v>45714</v>
      </c>
      <c r="C56" t="s">
        <v>9</v>
      </c>
      <c r="D56" t="s">
        <v>18</v>
      </c>
      <c r="E56" t="s">
        <v>32</v>
      </c>
      <c r="F56" t="s">
        <v>38</v>
      </c>
      <c r="G56" t="s">
        <v>28</v>
      </c>
      <c r="H56">
        <v>17314</v>
      </c>
      <c r="I56">
        <v>12062</v>
      </c>
      <c r="J56">
        <f t="shared" si="0"/>
        <v>5252</v>
      </c>
      <c r="K56" s="2">
        <f t="shared" si="1"/>
        <v>0.30333833891648376</v>
      </c>
      <c r="L56" t="str">
        <f>IF(Excel_Data_Analytics_Dataset!J56&gt;15000,"Excellent",IF(Excel_Data_Analytics_Dataset!J56&gt;=5000,"Good","Poor"))</f>
        <v>Good</v>
      </c>
      <c r="M56">
        <f>IF(Table1[[#This Row],[Category]]="Electronics",Excel_Data_Analytics_Dataset!H56*5%,Excel_Data_Analytics_Dataset!H56*8%)</f>
        <v>865.7</v>
      </c>
      <c r="N56">
        <f>SUM(H$2:H56)</f>
        <v>880444</v>
      </c>
    </row>
    <row r="57" spans="1:14" x14ac:dyDescent="0.25">
      <c r="A57">
        <v>56</v>
      </c>
      <c r="B57" s="13">
        <v>45715</v>
      </c>
      <c r="C57" t="s">
        <v>17</v>
      </c>
      <c r="D57" t="s">
        <v>10</v>
      </c>
      <c r="E57" t="s">
        <v>11</v>
      </c>
      <c r="F57" t="s">
        <v>48</v>
      </c>
      <c r="G57" t="s">
        <v>33</v>
      </c>
      <c r="H57">
        <v>26570</v>
      </c>
      <c r="I57">
        <v>20277</v>
      </c>
      <c r="J57">
        <f t="shared" si="0"/>
        <v>6293</v>
      </c>
      <c r="K57" s="2">
        <f t="shared" si="1"/>
        <v>0.23684606699284907</v>
      </c>
      <c r="L57" t="str">
        <f>IF(Excel_Data_Analytics_Dataset!J57&gt;15000,"Excellent",IF(Excel_Data_Analytics_Dataset!J57&gt;=5000,"Good","Poor"))</f>
        <v>Good</v>
      </c>
      <c r="M57">
        <f>IF(Table1[[#This Row],[Category]]="Electronics",Excel_Data_Analytics_Dataset!H57*5%,Excel_Data_Analytics_Dataset!H57*8%)</f>
        <v>2125.6</v>
      </c>
      <c r="N57">
        <f>SUM(H$2:H57)</f>
        <v>907014</v>
      </c>
    </row>
    <row r="58" spans="1:14" x14ac:dyDescent="0.25">
      <c r="A58">
        <v>57</v>
      </c>
      <c r="B58" s="13">
        <v>45716</v>
      </c>
      <c r="C58" t="s">
        <v>9</v>
      </c>
      <c r="D58" t="s">
        <v>10</v>
      </c>
      <c r="E58" t="s">
        <v>42</v>
      </c>
      <c r="F58" t="s">
        <v>55</v>
      </c>
      <c r="G58" t="s">
        <v>35</v>
      </c>
      <c r="H58">
        <v>18440</v>
      </c>
      <c r="I58">
        <v>14772</v>
      </c>
      <c r="J58">
        <f t="shared" si="0"/>
        <v>3668</v>
      </c>
      <c r="K58" s="2">
        <f t="shared" si="1"/>
        <v>0.19891540130151844</v>
      </c>
      <c r="L58" t="str">
        <f>IF(Excel_Data_Analytics_Dataset!J58&gt;15000,"Excellent",IF(Excel_Data_Analytics_Dataset!J58&gt;=5000,"Good","Poor"))</f>
        <v>Poor</v>
      </c>
      <c r="M58">
        <f>IF(Table1[[#This Row],[Category]]="Electronics",Excel_Data_Analytics_Dataset!H58*5%,Excel_Data_Analytics_Dataset!H58*8%)</f>
        <v>1475.2</v>
      </c>
      <c r="N58">
        <f>SUM(H$2:H58)</f>
        <v>925454</v>
      </c>
    </row>
    <row r="59" spans="1:14" x14ac:dyDescent="0.25">
      <c r="A59">
        <v>58</v>
      </c>
      <c r="B59" s="13">
        <v>45717</v>
      </c>
      <c r="C59" t="s">
        <v>17</v>
      </c>
      <c r="D59" t="s">
        <v>10</v>
      </c>
      <c r="E59" t="s">
        <v>21</v>
      </c>
      <c r="F59" t="s">
        <v>55</v>
      </c>
      <c r="G59" t="s">
        <v>28</v>
      </c>
      <c r="H59">
        <v>18052</v>
      </c>
      <c r="I59">
        <v>16236</v>
      </c>
      <c r="J59">
        <f t="shared" si="0"/>
        <v>1816</v>
      </c>
      <c r="K59" s="2">
        <f t="shared" si="1"/>
        <v>0.10059827165964991</v>
      </c>
      <c r="L59" t="str">
        <f>IF(Excel_Data_Analytics_Dataset!J59&gt;15000,"Excellent",IF(Excel_Data_Analytics_Dataset!J59&gt;=5000,"Good","Poor"))</f>
        <v>Poor</v>
      </c>
      <c r="M59">
        <f>IF(Table1[[#This Row],[Category]]="Electronics",Excel_Data_Analytics_Dataset!H59*5%,Excel_Data_Analytics_Dataset!H59*8%)</f>
        <v>1444.16</v>
      </c>
      <c r="N59">
        <f>SUM(H$2:H59)</f>
        <v>943506</v>
      </c>
    </row>
    <row r="60" spans="1:14" x14ac:dyDescent="0.25">
      <c r="A60">
        <v>59</v>
      </c>
      <c r="B60" s="13">
        <v>45718</v>
      </c>
      <c r="C60" t="s">
        <v>14</v>
      </c>
      <c r="D60" t="s">
        <v>18</v>
      </c>
      <c r="E60" t="s">
        <v>29</v>
      </c>
      <c r="F60" t="s">
        <v>22</v>
      </c>
      <c r="G60" t="s">
        <v>28</v>
      </c>
      <c r="H60">
        <v>27796</v>
      </c>
      <c r="I60">
        <v>18235</v>
      </c>
      <c r="J60">
        <f t="shared" si="0"/>
        <v>9561</v>
      </c>
      <c r="K60" s="2">
        <f t="shared" si="1"/>
        <v>0.34397035544682686</v>
      </c>
      <c r="L60" t="str">
        <f>IF(Excel_Data_Analytics_Dataset!J60&gt;15000,"Excellent",IF(Excel_Data_Analytics_Dataset!J60&gt;=5000,"Good","Poor"))</f>
        <v>Good</v>
      </c>
      <c r="M60">
        <f>IF(Table1[[#This Row],[Category]]="Electronics",Excel_Data_Analytics_Dataset!H60*5%,Excel_Data_Analytics_Dataset!H60*8%)</f>
        <v>1389.8000000000002</v>
      </c>
      <c r="N60">
        <f>SUM(H$2:H60)</f>
        <v>971302</v>
      </c>
    </row>
    <row r="61" spans="1:14" x14ac:dyDescent="0.25">
      <c r="A61">
        <v>60</v>
      </c>
      <c r="B61" s="13">
        <v>45719</v>
      </c>
      <c r="C61" t="s">
        <v>9</v>
      </c>
      <c r="D61" t="s">
        <v>10</v>
      </c>
      <c r="E61" t="s">
        <v>15</v>
      </c>
      <c r="F61" t="s">
        <v>56</v>
      </c>
      <c r="G61" t="s">
        <v>23</v>
      </c>
      <c r="H61">
        <v>21524</v>
      </c>
      <c r="I61">
        <v>14147</v>
      </c>
      <c r="J61">
        <f t="shared" si="0"/>
        <v>7377</v>
      </c>
      <c r="K61" s="2">
        <f t="shared" si="1"/>
        <v>0.34273369262218917</v>
      </c>
      <c r="L61" t="str">
        <f>IF(Excel_Data_Analytics_Dataset!J61&gt;15000,"Excellent",IF(Excel_Data_Analytics_Dataset!J61&gt;=5000,"Good","Poor"))</f>
        <v>Good</v>
      </c>
      <c r="M61">
        <f>IF(Table1[[#This Row],[Category]]="Electronics",Excel_Data_Analytics_Dataset!H61*5%,Excel_Data_Analytics_Dataset!H61*8%)</f>
        <v>1721.92</v>
      </c>
      <c r="N61">
        <f>SUM(H$2:H61)</f>
        <v>992826</v>
      </c>
    </row>
    <row r="62" spans="1:14" x14ac:dyDescent="0.25">
      <c r="A62">
        <v>61</v>
      </c>
      <c r="B62" s="13">
        <v>45720</v>
      </c>
      <c r="C62" t="s">
        <v>9</v>
      </c>
      <c r="D62" t="s">
        <v>18</v>
      </c>
      <c r="E62" t="s">
        <v>19</v>
      </c>
      <c r="F62" t="s">
        <v>57</v>
      </c>
      <c r="G62" t="s">
        <v>13</v>
      </c>
      <c r="H62">
        <v>17658</v>
      </c>
      <c r="I62">
        <v>11884</v>
      </c>
      <c r="J62">
        <f t="shared" si="0"/>
        <v>5774</v>
      </c>
      <c r="K62" s="2">
        <f t="shared" si="1"/>
        <v>0.32699059916185297</v>
      </c>
      <c r="L62" t="str">
        <f>IF(Excel_Data_Analytics_Dataset!J62&gt;15000,"Excellent",IF(Excel_Data_Analytics_Dataset!J62&gt;=5000,"Good","Poor"))</f>
        <v>Good</v>
      </c>
      <c r="M62">
        <f>IF(Table1[[#This Row],[Category]]="Electronics",Excel_Data_Analytics_Dataset!H62*5%,Excel_Data_Analytics_Dataset!H62*8%)</f>
        <v>882.90000000000009</v>
      </c>
      <c r="N62">
        <f>SUM(H$2:H62)</f>
        <v>1010484</v>
      </c>
    </row>
    <row r="63" spans="1:14" x14ac:dyDescent="0.25">
      <c r="A63">
        <v>62</v>
      </c>
      <c r="B63" s="13">
        <v>45721</v>
      </c>
      <c r="C63" t="s">
        <v>17</v>
      </c>
      <c r="D63" t="s">
        <v>18</v>
      </c>
      <c r="E63" t="s">
        <v>32</v>
      </c>
      <c r="F63" t="s">
        <v>58</v>
      </c>
      <c r="G63" t="s">
        <v>33</v>
      </c>
      <c r="H63">
        <v>16751</v>
      </c>
      <c r="I63">
        <v>12144</v>
      </c>
      <c r="J63">
        <f t="shared" si="0"/>
        <v>4607</v>
      </c>
      <c r="K63" s="2">
        <f t="shared" si="1"/>
        <v>0.27502835651602892</v>
      </c>
      <c r="L63" t="str">
        <f>IF(Excel_Data_Analytics_Dataset!J63&gt;15000,"Excellent",IF(Excel_Data_Analytics_Dataset!J63&gt;=5000,"Good","Poor"))</f>
        <v>Poor</v>
      </c>
      <c r="M63">
        <f>IF(Table1[[#This Row],[Category]]="Electronics",Excel_Data_Analytics_Dataset!H63*5%,Excel_Data_Analytics_Dataset!H63*8%)</f>
        <v>837.55000000000007</v>
      </c>
      <c r="N63">
        <f>SUM(H$2:H63)</f>
        <v>1027235</v>
      </c>
    </row>
    <row r="64" spans="1:14" x14ac:dyDescent="0.25">
      <c r="A64">
        <v>63</v>
      </c>
      <c r="B64" s="13">
        <v>45722</v>
      </c>
      <c r="C64" t="s">
        <v>17</v>
      </c>
      <c r="D64" t="s">
        <v>18</v>
      </c>
      <c r="E64" t="s">
        <v>32</v>
      </c>
      <c r="F64" t="s">
        <v>25</v>
      </c>
      <c r="G64" t="s">
        <v>13</v>
      </c>
      <c r="H64">
        <v>5069</v>
      </c>
      <c r="I64">
        <v>3665</v>
      </c>
      <c r="J64">
        <f t="shared" si="0"/>
        <v>1404</v>
      </c>
      <c r="K64" s="2">
        <f t="shared" si="1"/>
        <v>0.27697770763464197</v>
      </c>
      <c r="L64" t="str">
        <f>IF(Excel_Data_Analytics_Dataset!J64&gt;15000,"Excellent",IF(Excel_Data_Analytics_Dataset!J64&gt;=5000,"Good","Poor"))</f>
        <v>Poor</v>
      </c>
      <c r="M64">
        <f>IF(Table1[[#This Row],[Category]]="Electronics",Excel_Data_Analytics_Dataset!H64*5%,Excel_Data_Analytics_Dataset!H64*8%)</f>
        <v>253.45000000000002</v>
      </c>
      <c r="N64">
        <f>SUM(H$2:H64)</f>
        <v>1032304</v>
      </c>
    </row>
    <row r="65" spans="1:14" x14ac:dyDescent="0.25">
      <c r="A65">
        <v>64</v>
      </c>
      <c r="B65" s="13">
        <v>45723</v>
      </c>
      <c r="C65" t="s">
        <v>37</v>
      </c>
      <c r="D65" t="s">
        <v>10</v>
      </c>
      <c r="E65" t="s">
        <v>15</v>
      </c>
      <c r="F65" t="s">
        <v>59</v>
      </c>
      <c r="G65" t="s">
        <v>35</v>
      </c>
      <c r="H65">
        <v>29735</v>
      </c>
      <c r="I65">
        <v>24687</v>
      </c>
      <c r="J65">
        <f t="shared" si="0"/>
        <v>5048</v>
      </c>
      <c r="K65" s="2">
        <f t="shared" si="1"/>
        <v>0.16976626870691106</v>
      </c>
      <c r="L65" t="str">
        <f>IF(Excel_Data_Analytics_Dataset!J65&gt;15000,"Excellent",IF(Excel_Data_Analytics_Dataset!J65&gt;=5000,"Good","Poor"))</f>
        <v>Good</v>
      </c>
      <c r="M65">
        <f>IF(Table1[[#This Row],[Category]]="Electronics",Excel_Data_Analytics_Dataset!H65*5%,Excel_Data_Analytics_Dataset!H65*8%)</f>
        <v>2378.8000000000002</v>
      </c>
      <c r="N65">
        <f>SUM(H$2:H65)</f>
        <v>1062039</v>
      </c>
    </row>
    <row r="66" spans="1:14" x14ac:dyDescent="0.25">
      <c r="A66">
        <v>65</v>
      </c>
      <c r="B66" s="13">
        <v>45724</v>
      </c>
      <c r="C66" t="s">
        <v>17</v>
      </c>
      <c r="D66" t="s">
        <v>10</v>
      </c>
      <c r="E66" t="s">
        <v>21</v>
      </c>
      <c r="F66" t="s">
        <v>60</v>
      </c>
      <c r="G66" t="s">
        <v>35</v>
      </c>
      <c r="H66">
        <v>15491</v>
      </c>
      <c r="I66">
        <v>9853</v>
      </c>
      <c r="J66">
        <f t="shared" ref="J66:J129" si="2">H66-I66</f>
        <v>5638</v>
      </c>
      <c r="K66" s="2">
        <f t="shared" ref="K66:K129" si="3">J66/H66</f>
        <v>0.3639532631850752</v>
      </c>
      <c r="L66" t="str">
        <f>IF(Excel_Data_Analytics_Dataset!J66&gt;15000,"Excellent",IF(Excel_Data_Analytics_Dataset!J66&gt;=5000,"Good","Poor"))</f>
        <v>Good</v>
      </c>
      <c r="M66">
        <f>IF(Table1[[#This Row],[Category]]="Electronics",Excel_Data_Analytics_Dataset!H66*5%,Excel_Data_Analytics_Dataset!H66*8%)</f>
        <v>1239.28</v>
      </c>
      <c r="N66">
        <f>SUM(H$2:H66)</f>
        <v>1077530</v>
      </c>
    </row>
    <row r="67" spans="1:14" x14ac:dyDescent="0.25">
      <c r="A67">
        <v>66</v>
      </c>
      <c r="B67" s="13">
        <v>45725</v>
      </c>
      <c r="C67" t="s">
        <v>17</v>
      </c>
      <c r="D67" t="s">
        <v>10</v>
      </c>
      <c r="E67" t="s">
        <v>15</v>
      </c>
      <c r="F67" t="s">
        <v>61</v>
      </c>
      <c r="G67" t="s">
        <v>33</v>
      </c>
      <c r="H67">
        <v>28106</v>
      </c>
      <c r="I67">
        <v>25013</v>
      </c>
      <c r="J67">
        <f t="shared" si="2"/>
        <v>3093</v>
      </c>
      <c r="K67" s="2">
        <f t="shared" si="3"/>
        <v>0.11004767665267202</v>
      </c>
      <c r="L67" t="str">
        <f>IF(Excel_Data_Analytics_Dataset!J67&gt;15000,"Excellent",IF(Excel_Data_Analytics_Dataset!J67&gt;=5000,"Good","Poor"))</f>
        <v>Poor</v>
      </c>
      <c r="M67">
        <f>IF(Table1[[#This Row],[Category]]="Electronics",Excel_Data_Analytics_Dataset!H67*5%,Excel_Data_Analytics_Dataset!H67*8%)</f>
        <v>2248.48</v>
      </c>
      <c r="N67">
        <f>SUM(H$2:H67)</f>
        <v>1105636</v>
      </c>
    </row>
    <row r="68" spans="1:14" x14ac:dyDescent="0.25">
      <c r="A68">
        <v>67</v>
      </c>
      <c r="B68" s="13">
        <v>45726</v>
      </c>
      <c r="C68" t="s">
        <v>14</v>
      </c>
      <c r="D68" t="s">
        <v>18</v>
      </c>
      <c r="E68" t="s">
        <v>29</v>
      </c>
      <c r="F68" t="s">
        <v>55</v>
      </c>
      <c r="G68" t="s">
        <v>35</v>
      </c>
      <c r="H68">
        <v>23089</v>
      </c>
      <c r="I68">
        <v>19254</v>
      </c>
      <c r="J68">
        <f t="shared" si="2"/>
        <v>3835</v>
      </c>
      <c r="K68" s="2">
        <f t="shared" si="3"/>
        <v>0.16609640954567109</v>
      </c>
      <c r="L68" t="str">
        <f>IF(Excel_Data_Analytics_Dataset!J68&gt;15000,"Excellent",IF(Excel_Data_Analytics_Dataset!J68&gt;=5000,"Good","Poor"))</f>
        <v>Poor</v>
      </c>
      <c r="M68">
        <f>IF(Table1[[#This Row],[Category]]="Electronics",Excel_Data_Analytics_Dataset!H68*5%,Excel_Data_Analytics_Dataset!H68*8%)</f>
        <v>1154.45</v>
      </c>
      <c r="N68">
        <f>SUM(H$2:H68)</f>
        <v>1128725</v>
      </c>
    </row>
    <row r="69" spans="1:14" x14ac:dyDescent="0.25">
      <c r="A69">
        <v>68</v>
      </c>
      <c r="B69" s="13">
        <v>45727</v>
      </c>
      <c r="C69" t="s">
        <v>14</v>
      </c>
      <c r="D69" t="s">
        <v>18</v>
      </c>
      <c r="E69" t="s">
        <v>32</v>
      </c>
      <c r="F69" t="s">
        <v>24</v>
      </c>
      <c r="G69" t="s">
        <v>23</v>
      </c>
      <c r="H69">
        <v>20026</v>
      </c>
      <c r="I69">
        <v>17984</v>
      </c>
      <c r="J69">
        <f t="shared" si="2"/>
        <v>2042</v>
      </c>
      <c r="K69" s="2">
        <f t="shared" si="3"/>
        <v>0.10196744232497752</v>
      </c>
      <c r="L69" t="str">
        <f>IF(Excel_Data_Analytics_Dataset!J69&gt;15000,"Excellent",IF(Excel_Data_Analytics_Dataset!J69&gt;=5000,"Good","Poor"))</f>
        <v>Poor</v>
      </c>
      <c r="M69">
        <f>IF(Table1[[#This Row],[Category]]="Electronics",Excel_Data_Analytics_Dataset!H69*5%,Excel_Data_Analytics_Dataset!H69*8%)</f>
        <v>1001.3000000000001</v>
      </c>
      <c r="N69">
        <f>SUM(H$2:H69)</f>
        <v>1148751</v>
      </c>
    </row>
    <row r="70" spans="1:14" x14ac:dyDescent="0.25">
      <c r="A70">
        <v>69</v>
      </c>
      <c r="B70" s="13">
        <v>45728</v>
      </c>
      <c r="C70" t="s">
        <v>9</v>
      </c>
      <c r="D70" t="s">
        <v>18</v>
      </c>
      <c r="E70" t="s">
        <v>26</v>
      </c>
      <c r="F70" t="s">
        <v>36</v>
      </c>
      <c r="G70" t="s">
        <v>13</v>
      </c>
      <c r="H70">
        <v>3988</v>
      </c>
      <c r="I70">
        <v>2714</v>
      </c>
      <c r="J70">
        <f t="shared" si="2"/>
        <v>1274</v>
      </c>
      <c r="K70" s="2">
        <f t="shared" si="3"/>
        <v>0.31945837512537612</v>
      </c>
      <c r="L70" t="str">
        <f>IF(Excel_Data_Analytics_Dataset!J70&gt;15000,"Excellent",IF(Excel_Data_Analytics_Dataset!J70&gt;=5000,"Good","Poor"))</f>
        <v>Poor</v>
      </c>
      <c r="M70">
        <f>IF(Table1[[#This Row],[Category]]="Electronics",Excel_Data_Analytics_Dataset!H70*5%,Excel_Data_Analytics_Dataset!H70*8%)</f>
        <v>199.4</v>
      </c>
      <c r="N70">
        <f>SUM(H$2:H70)</f>
        <v>1152739</v>
      </c>
    </row>
    <row r="71" spans="1:14" x14ac:dyDescent="0.25">
      <c r="A71">
        <v>70</v>
      </c>
      <c r="B71" s="13">
        <v>45729</v>
      </c>
      <c r="C71" t="s">
        <v>17</v>
      </c>
      <c r="D71" t="s">
        <v>10</v>
      </c>
      <c r="E71" t="s">
        <v>42</v>
      </c>
      <c r="F71" t="s">
        <v>22</v>
      </c>
      <c r="G71" t="s">
        <v>23</v>
      </c>
      <c r="H71">
        <v>9205</v>
      </c>
      <c r="I71">
        <v>8026</v>
      </c>
      <c r="J71">
        <f t="shared" si="2"/>
        <v>1179</v>
      </c>
      <c r="K71" s="2">
        <f t="shared" si="3"/>
        <v>0.12808256382400868</v>
      </c>
      <c r="L71" t="str">
        <f>IF(Excel_Data_Analytics_Dataset!J71&gt;15000,"Excellent",IF(Excel_Data_Analytics_Dataset!J71&gt;=5000,"Good","Poor"))</f>
        <v>Poor</v>
      </c>
      <c r="M71">
        <f>IF(Table1[[#This Row],[Category]]="Electronics",Excel_Data_Analytics_Dataset!H71*5%,Excel_Data_Analytics_Dataset!H71*8%)</f>
        <v>736.4</v>
      </c>
      <c r="N71">
        <f>SUM(H$2:H71)</f>
        <v>1161944</v>
      </c>
    </row>
    <row r="72" spans="1:14" x14ac:dyDescent="0.25">
      <c r="A72">
        <v>71</v>
      </c>
      <c r="B72" s="13">
        <v>45730</v>
      </c>
      <c r="C72" t="s">
        <v>37</v>
      </c>
      <c r="D72" t="s">
        <v>18</v>
      </c>
      <c r="E72" t="s">
        <v>26</v>
      </c>
      <c r="F72" t="s">
        <v>31</v>
      </c>
      <c r="G72" t="s">
        <v>28</v>
      </c>
      <c r="H72">
        <v>28902</v>
      </c>
      <c r="I72">
        <v>19105</v>
      </c>
      <c r="J72">
        <f t="shared" si="2"/>
        <v>9797</v>
      </c>
      <c r="K72" s="2">
        <f t="shared" si="3"/>
        <v>0.3389730814476507</v>
      </c>
      <c r="L72" t="str">
        <f>IF(Excel_Data_Analytics_Dataset!J72&gt;15000,"Excellent",IF(Excel_Data_Analytics_Dataset!J72&gt;=5000,"Good","Poor"))</f>
        <v>Good</v>
      </c>
      <c r="M72">
        <f>IF(Table1[[#This Row],[Category]]="Electronics",Excel_Data_Analytics_Dataset!H72*5%,Excel_Data_Analytics_Dataset!H72*8%)</f>
        <v>1445.1000000000001</v>
      </c>
      <c r="N72">
        <f>SUM(H$2:H72)</f>
        <v>1190846</v>
      </c>
    </row>
    <row r="73" spans="1:14" x14ac:dyDescent="0.25">
      <c r="A73">
        <v>72</v>
      </c>
      <c r="B73" s="13">
        <v>45731</v>
      </c>
      <c r="C73" t="s">
        <v>37</v>
      </c>
      <c r="D73" t="s">
        <v>18</v>
      </c>
      <c r="E73" t="s">
        <v>26</v>
      </c>
      <c r="F73" t="s">
        <v>62</v>
      </c>
      <c r="G73" t="s">
        <v>23</v>
      </c>
      <c r="H73">
        <v>17678</v>
      </c>
      <c r="I73">
        <v>14746</v>
      </c>
      <c r="J73">
        <f t="shared" si="2"/>
        <v>2932</v>
      </c>
      <c r="K73" s="2">
        <f t="shared" si="3"/>
        <v>0.16585586604819549</v>
      </c>
      <c r="L73" t="str">
        <f>IF(Excel_Data_Analytics_Dataset!J73&gt;15000,"Excellent",IF(Excel_Data_Analytics_Dataset!J73&gt;=5000,"Good","Poor"))</f>
        <v>Poor</v>
      </c>
      <c r="M73">
        <f>IF(Table1[[#This Row],[Category]]="Electronics",Excel_Data_Analytics_Dataset!H73*5%,Excel_Data_Analytics_Dataset!H73*8%)</f>
        <v>883.90000000000009</v>
      </c>
      <c r="N73">
        <f>SUM(H$2:H73)</f>
        <v>1208524</v>
      </c>
    </row>
    <row r="74" spans="1:14" x14ac:dyDescent="0.25">
      <c r="A74">
        <v>73</v>
      </c>
      <c r="B74" s="13">
        <v>45732</v>
      </c>
      <c r="C74" t="s">
        <v>9</v>
      </c>
      <c r="D74" t="s">
        <v>18</v>
      </c>
      <c r="E74" t="s">
        <v>29</v>
      </c>
      <c r="F74" t="s">
        <v>53</v>
      </c>
      <c r="G74" t="s">
        <v>35</v>
      </c>
      <c r="H74">
        <v>26496</v>
      </c>
      <c r="I74">
        <v>23793</v>
      </c>
      <c r="J74">
        <f t="shared" si="2"/>
        <v>2703</v>
      </c>
      <c r="K74" s="2">
        <f t="shared" si="3"/>
        <v>0.10201539855072464</v>
      </c>
      <c r="L74" t="str">
        <f>IF(Excel_Data_Analytics_Dataset!J74&gt;15000,"Excellent",IF(Excel_Data_Analytics_Dataset!J74&gt;=5000,"Good","Poor"))</f>
        <v>Poor</v>
      </c>
      <c r="M74">
        <f>IF(Table1[[#This Row],[Category]]="Electronics",Excel_Data_Analytics_Dataset!H74*5%,Excel_Data_Analytics_Dataset!H74*8%)</f>
        <v>1324.8000000000002</v>
      </c>
      <c r="N74">
        <f>SUM(H$2:H74)</f>
        <v>1235020</v>
      </c>
    </row>
    <row r="75" spans="1:14" x14ac:dyDescent="0.25">
      <c r="A75">
        <v>74</v>
      </c>
      <c r="B75" s="13">
        <v>45733</v>
      </c>
      <c r="C75" t="s">
        <v>14</v>
      </c>
      <c r="D75" t="s">
        <v>18</v>
      </c>
      <c r="E75" t="s">
        <v>32</v>
      </c>
      <c r="F75" t="s">
        <v>63</v>
      </c>
      <c r="G75" t="s">
        <v>23</v>
      </c>
      <c r="H75">
        <v>6369</v>
      </c>
      <c r="I75">
        <v>5405</v>
      </c>
      <c r="J75">
        <f t="shared" si="2"/>
        <v>964</v>
      </c>
      <c r="K75" s="2">
        <f t="shared" si="3"/>
        <v>0.1513581409954467</v>
      </c>
      <c r="L75" t="str">
        <f>IF(Excel_Data_Analytics_Dataset!J75&gt;15000,"Excellent",IF(Excel_Data_Analytics_Dataset!J75&gt;=5000,"Good","Poor"))</f>
        <v>Poor</v>
      </c>
      <c r="M75">
        <f>IF(Table1[[#This Row],[Category]]="Electronics",Excel_Data_Analytics_Dataset!H75*5%,Excel_Data_Analytics_Dataset!H75*8%)</f>
        <v>318.45000000000005</v>
      </c>
      <c r="N75">
        <f>SUM(H$2:H75)</f>
        <v>1241389</v>
      </c>
    </row>
    <row r="76" spans="1:14" x14ac:dyDescent="0.25">
      <c r="A76">
        <v>75</v>
      </c>
      <c r="B76" s="13">
        <v>45734</v>
      </c>
      <c r="C76" t="s">
        <v>9</v>
      </c>
      <c r="D76" t="s">
        <v>18</v>
      </c>
      <c r="E76" t="s">
        <v>19</v>
      </c>
      <c r="F76" t="s">
        <v>22</v>
      </c>
      <c r="G76" t="s">
        <v>35</v>
      </c>
      <c r="H76">
        <v>17004</v>
      </c>
      <c r="I76">
        <v>10698</v>
      </c>
      <c r="J76">
        <f t="shared" si="2"/>
        <v>6306</v>
      </c>
      <c r="K76" s="2">
        <f t="shared" si="3"/>
        <v>0.37085391672547635</v>
      </c>
      <c r="L76" t="str">
        <f>IF(Excel_Data_Analytics_Dataset!J76&gt;15000,"Excellent",IF(Excel_Data_Analytics_Dataset!J76&gt;=5000,"Good","Poor"))</f>
        <v>Good</v>
      </c>
      <c r="M76">
        <f>IF(Table1[[#This Row],[Category]]="Electronics",Excel_Data_Analytics_Dataset!H76*5%,Excel_Data_Analytics_Dataset!H76*8%)</f>
        <v>850.2</v>
      </c>
      <c r="N76">
        <f>SUM(H$2:H76)</f>
        <v>1258393</v>
      </c>
    </row>
    <row r="77" spans="1:14" x14ac:dyDescent="0.25">
      <c r="A77">
        <v>76</v>
      </c>
      <c r="B77" s="13">
        <v>45735</v>
      </c>
      <c r="C77" t="s">
        <v>9</v>
      </c>
      <c r="D77" t="s">
        <v>10</v>
      </c>
      <c r="E77" t="s">
        <v>11</v>
      </c>
      <c r="F77" t="s">
        <v>45</v>
      </c>
      <c r="G77" t="s">
        <v>28</v>
      </c>
      <c r="H77">
        <v>5148</v>
      </c>
      <c r="I77">
        <v>3856</v>
      </c>
      <c r="J77">
        <f t="shared" si="2"/>
        <v>1292</v>
      </c>
      <c r="K77" s="2">
        <f t="shared" si="3"/>
        <v>0.25097125097125095</v>
      </c>
      <c r="L77" t="str">
        <f>IF(Excel_Data_Analytics_Dataset!J77&gt;15000,"Excellent",IF(Excel_Data_Analytics_Dataset!J77&gt;=5000,"Good","Poor"))</f>
        <v>Poor</v>
      </c>
      <c r="M77">
        <f>IF(Table1[[#This Row],[Category]]="Electronics",Excel_Data_Analytics_Dataset!H77*5%,Excel_Data_Analytics_Dataset!H77*8%)</f>
        <v>411.84000000000003</v>
      </c>
      <c r="N77">
        <f>SUM(H$2:H77)</f>
        <v>1263541</v>
      </c>
    </row>
    <row r="78" spans="1:14" x14ac:dyDescent="0.25">
      <c r="A78">
        <v>77</v>
      </c>
      <c r="B78" s="13">
        <v>45736</v>
      </c>
      <c r="C78" t="s">
        <v>9</v>
      </c>
      <c r="D78" t="s">
        <v>18</v>
      </c>
      <c r="E78" t="s">
        <v>26</v>
      </c>
      <c r="F78" t="s">
        <v>64</v>
      </c>
      <c r="G78" t="s">
        <v>33</v>
      </c>
      <c r="H78">
        <v>5919</v>
      </c>
      <c r="I78">
        <v>5047</v>
      </c>
      <c r="J78">
        <f t="shared" si="2"/>
        <v>872</v>
      </c>
      <c r="K78" s="2">
        <f t="shared" si="3"/>
        <v>0.14732218280114884</v>
      </c>
      <c r="L78" t="str">
        <f>IF(Excel_Data_Analytics_Dataset!J78&gt;15000,"Excellent",IF(Excel_Data_Analytics_Dataset!J78&gt;=5000,"Good","Poor"))</f>
        <v>Poor</v>
      </c>
      <c r="M78">
        <f>IF(Table1[[#This Row],[Category]]="Electronics",Excel_Data_Analytics_Dataset!H78*5%,Excel_Data_Analytics_Dataset!H78*8%)</f>
        <v>295.95</v>
      </c>
      <c r="N78">
        <f>SUM(H$2:H78)</f>
        <v>1269460</v>
      </c>
    </row>
    <row r="79" spans="1:14" x14ac:dyDescent="0.25">
      <c r="A79">
        <v>78</v>
      </c>
      <c r="B79" s="13">
        <v>45737</v>
      </c>
      <c r="C79" t="s">
        <v>9</v>
      </c>
      <c r="D79" t="s">
        <v>10</v>
      </c>
      <c r="E79" t="s">
        <v>42</v>
      </c>
      <c r="F79" t="s">
        <v>56</v>
      </c>
      <c r="G79" t="s">
        <v>33</v>
      </c>
      <c r="H79">
        <v>12848</v>
      </c>
      <c r="I79">
        <v>10792</v>
      </c>
      <c r="J79">
        <f t="shared" si="2"/>
        <v>2056</v>
      </c>
      <c r="K79" s="2">
        <f t="shared" si="3"/>
        <v>0.16002490660024907</v>
      </c>
      <c r="L79" t="str">
        <f>IF(Excel_Data_Analytics_Dataset!J79&gt;15000,"Excellent",IF(Excel_Data_Analytics_Dataset!J79&gt;=5000,"Good","Poor"))</f>
        <v>Poor</v>
      </c>
      <c r="M79">
        <f>IF(Table1[[#This Row],[Category]]="Electronics",Excel_Data_Analytics_Dataset!H79*5%,Excel_Data_Analytics_Dataset!H79*8%)</f>
        <v>1027.8399999999999</v>
      </c>
      <c r="N79">
        <f>SUM(H$2:H79)</f>
        <v>1282308</v>
      </c>
    </row>
    <row r="80" spans="1:14" x14ac:dyDescent="0.25">
      <c r="A80">
        <v>79</v>
      </c>
      <c r="B80" s="13">
        <v>45738</v>
      </c>
      <c r="C80" t="s">
        <v>37</v>
      </c>
      <c r="D80" t="s">
        <v>10</v>
      </c>
      <c r="E80" t="s">
        <v>42</v>
      </c>
      <c r="F80" t="s">
        <v>39</v>
      </c>
      <c r="G80" t="s">
        <v>23</v>
      </c>
      <c r="H80">
        <v>12268</v>
      </c>
      <c r="I80">
        <v>8818</v>
      </c>
      <c r="J80">
        <f t="shared" si="2"/>
        <v>3450</v>
      </c>
      <c r="K80" s="2">
        <f t="shared" si="3"/>
        <v>0.28121943267036192</v>
      </c>
      <c r="L80" t="str">
        <f>IF(Excel_Data_Analytics_Dataset!J80&gt;15000,"Excellent",IF(Excel_Data_Analytics_Dataset!J80&gt;=5000,"Good","Poor"))</f>
        <v>Poor</v>
      </c>
      <c r="M80">
        <f>IF(Table1[[#This Row],[Category]]="Electronics",Excel_Data_Analytics_Dataset!H80*5%,Excel_Data_Analytics_Dataset!H80*8%)</f>
        <v>981.44</v>
      </c>
      <c r="N80">
        <f>SUM(H$2:H80)</f>
        <v>1294576</v>
      </c>
    </row>
    <row r="81" spans="1:14" x14ac:dyDescent="0.25">
      <c r="A81">
        <v>80</v>
      </c>
      <c r="B81" s="13">
        <v>45739</v>
      </c>
      <c r="C81" t="s">
        <v>37</v>
      </c>
      <c r="D81" t="s">
        <v>18</v>
      </c>
      <c r="E81" t="s">
        <v>29</v>
      </c>
      <c r="F81" t="s">
        <v>40</v>
      </c>
      <c r="G81" t="s">
        <v>23</v>
      </c>
      <c r="H81">
        <v>26582</v>
      </c>
      <c r="I81">
        <v>19041</v>
      </c>
      <c r="J81">
        <f t="shared" si="2"/>
        <v>7541</v>
      </c>
      <c r="K81" s="2">
        <f t="shared" si="3"/>
        <v>0.2836882100669626</v>
      </c>
      <c r="L81" t="str">
        <f>IF(Excel_Data_Analytics_Dataset!J81&gt;15000,"Excellent",IF(Excel_Data_Analytics_Dataset!J81&gt;=5000,"Good","Poor"))</f>
        <v>Good</v>
      </c>
      <c r="M81">
        <f>IF(Table1[[#This Row],[Category]]="Electronics",Excel_Data_Analytics_Dataset!H81*5%,Excel_Data_Analytics_Dataset!H81*8%)</f>
        <v>1329.1000000000001</v>
      </c>
      <c r="N81">
        <f>SUM(H$2:H81)</f>
        <v>1321158</v>
      </c>
    </row>
    <row r="82" spans="1:14" x14ac:dyDescent="0.25">
      <c r="A82">
        <v>81</v>
      </c>
      <c r="B82" s="13">
        <v>45740</v>
      </c>
      <c r="C82" t="s">
        <v>9</v>
      </c>
      <c r="D82" t="s">
        <v>18</v>
      </c>
      <c r="E82" t="s">
        <v>26</v>
      </c>
      <c r="F82" t="s">
        <v>27</v>
      </c>
      <c r="G82" t="s">
        <v>33</v>
      </c>
      <c r="H82">
        <v>16473</v>
      </c>
      <c r="I82">
        <v>14646</v>
      </c>
      <c r="J82">
        <f t="shared" si="2"/>
        <v>1827</v>
      </c>
      <c r="K82" s="2">
        <f t="shared" si="3"/>
        <v>0.11090875978874522</v>
      </c>
      <c r="L82" t="str">
        <f>IF(Excel_Data_Analytics_Dataset!J82&gt;15000,"Excellent",IF(Excel_Data_Analytics_Dataset!J82&gt;=5000,"Good","Poor"))</f>
        <v>Poor</v>
      </c>
      <c r="M82">
        <f>IF(Table1[[#This Row],[Category]]="Electronics",Excel_Data_Analytics_Dataset!H82*5%,Excel_Data_Analytics_Dataset!H82*8%)</f>
        <v>823.65000000000009</v>
      </c>
      <c r="N82">
        <f>SUM(H$2:H82)</f>
        <v>1337631</v>
      </c>
    </row>
    <row r="83" spans="1:14" x14ac:dyDescent="0.25">
      <c r="A83">
        <v>82</v>
      </c>
      <c r="B83" s="13">
        <v>45741</v>
      </c>
      <c r="C83" t="s">
        <v>17</v>
      </c>
      <c r="D83" t="s">
        <v>18</v>
      </c>
      <c r="E83" t="s">
        <v>19</v>
      </c>
      <c r="F83" t="s">
        <v>53</v>
      </c>
      <c r="G83" t="s">
        <v>23</v>
      </c>
      <c r="H83">
        <v>25437</v>
      </c>
      <c r="I83">
        <v>18625</v>
      </c>
      <c r="J83">
        <f t="shared" si="2"/>
        <v>6812</v>
      </c>
      <c r="K83" s="2">
        <f t="shared" si="3"/>
        <v>0.26779887565357552</v>
      </c>
      <c r="L83" t="str">
        <f>IF(Excel_Data_Analytics_Dataset!J83&gt;15000,"Excellent",IF(Excel_Data_Analytics_Dataset!J83&gt;=5000,"Good","Poor"))</f>
        <v>Good</v>
      </c>
      <c r="M83">
        <f>IF(Table1[[#This Row],[Category]]="Electronics",Excel_Data_Analytics_Dataset!H83*5%,Excel_Data_Analytics_Dataset!H83*8%)</f>
        <v>1271.8500000000001</v>
      </c>
      <c r="N83">
        <f>SUM(H$2:H83)</f>
        <v>1363068</v>
      </c>
    </row>
    <row r="84" spans="1:14" x14ac:dyDescent="0.25">
      <c r="A84">
        <v>83</v>
      </c>
      <c r="B84" s="13">
        <v>45742</v>
      </c>
      <c r="C84" t="s">
        <v>14</v>
      </c>
      <c r="D84" t="s">
        <v>18</v>
      </c>
      <c r="E84" t="s">
        <v>32</v>
      </c>
      <c r="F84" t="s">
        <v>65</v>
      </c>
      <c r="G84" t="s">
        <v>13</v>
      </c>
      <c r="H84">
        <v>6512</v>
      </c>
      <c r="I84">
        <v>4039</v>
      </c>
      <c r="J84">
        <f t="shared" si="2"/>
        <v>2473</v>
      </c>
      <c r="K84" s="2">
        <f t="shared" si="3"/>
        <v>0.37976044226044225</v>
      </c>
      <c r="L84" t="str">
        <f>IF(Excel_Data_Analytics_Dataset!J84&gt;15000,"Excellent",IF(Excel_Data_Analytics_Dataset!J84&gt;=5000,"Good","Poor"))</f>
        <v>Poor</v>
      </c>
      <c r="M84">
        <f>IF(Table1[[#This Row],[Category]]="Electronics",Excel_Data_Analytics_Dataset!H84*5%,Excel_Data_Analytics_Dataset!H84*8%)</f>
        <v>325.60000000000002</v>
      </c>
      <c r="N84">
        <f>SUM(H$2:H84)</f>
        <v>1369580</v>
      </c>
    </row>
    <row r="85" spans="1:14" x14ac:dyDescent="0.25">
      <c r="A85">
        <v>84</v>
      </c>
      <c r="B85" s="13">
        <v>45743</v>
      </c>
      <c r="C85" t="s">
        <v>17</v>
      </c>
      <c r="D85" t="s">
        <v>18</v>
      </c>
      <c r="E85" t="s">
        <v>26</v>
      </c>
      <c r="F85" t="s">
        <v>38</v>
      </c>
      <c r="G85" t="s">
        <v>35</v>
      </c>
      <c r="H85">
        <v>13717</v>
      </c>
      <c r="I85">
        <v>9719</v>
      </c>
      <c r="J85">
        <f t="shared" si="2"/>
        <v>3998</v>
      </c>
      <c r="K85" s="2">
        <f t="shared" si="3"/>
        <v>0.29146314791864109</v>
      </c>
      <c r="L85" t="str">
        <f>IF(Excel_Data_Analytics_Dataset!J85&gt;15000,"Excellent",IF(Excel_Data_Analytics_Dataset!J85&gt;=5000,"Good","Poor"))</f>
        <v>Poor</v>
      </c>
      <c r="M85">
        <f>IF(Table1[[#This Row],[Category]]="Electronics",Excel_Data_Analytics_Dataset!H85*5%,Excel_Data_Analytics_Dataset!H85*8%)</f>
        <v>685.85</v>
      </c>
      <c r="N85">
        <f>SUM(H$2:H85)</f>
        <v>1383297</v>
      </c>
    </row>
    <row r="86" spans="1:14" x14ac:dyDescent="0.25">
      <c r="A86">
        <v>85</v>
      </c>
      <c r="B86" s="13">
        <v>45744</v>
      </c>
      <c r="C86" t="s">
        <v>9</v>
      </c>
      <c r="D86" t="s">
        <v>10</v>
      </c>
      <c r="E86" t="s">
        <v>11</v>
      </c>
      <c r="F86" t="s">
        <v>34</v>
      </c>
      <c r="G86" t="s">
        <v>35</v>
      </c>
      <c r="H86">
        <v>16696</v>
      </c>
      <c r="I86">
        <v>12537</v>
      </c>
      <c r="J86">
        <f t="shared" si="2"/>
        <v>4159</v>
      </c>
      <c r="K86" s="2">
        <f t="shared" si="3"/>
        <v>0.24910158121705797</v>
      </c>
      <c r="L86" t="str">
        <f>IF(Excel_Data_Analytics_Dataset!J86&gt;15000,"Excellent",IF(Excel_Data_Analytics_Dataset!J86&gt;=5000,"Good","Poor"))</f>
        <v>Poor</v>
      </c>
      <c r="M86">
        <f>IF(Table1[[#This Row],[Category]]="Electronics",Excel_Data_Analytics_Dataset!H86*5%,Excel_Data_Analytics_Dataset!H86*8%)</f>
        <v>1335.68</v>
      </c>
      <c r="N86">
        <f>SUM(H$2:H86)</f>
        <v>1399993</v>
      </c>
    </row>
    <row r="87" spans="1:14" x14ac:dyDescent="0.25">
      <c r="A87">
        <v>86</v>
      </c>
      <c r="B87" s="13">
        <v>45745</v>
      </c>
      <c r="C87" t="s">
        <v>9</v>
      </c>
      <c r="D87" t="s">
        <v>18</v>
      </c>
      <c r="E87" t="s">
        <v>32</v>
      </c>
      <c r="F87" t="s">
        <v>49</v>
      </c>
      <c r="G87" t="s">
        <v>13</v>
      </c>
      <c r="H87">
        <v>16152</v>
      </c>
      <c r="I87">
        <v>13688</v>
      </c>
      <c r="J87">
        <f t="shared" si="2"/>
        <v>2464</v>
      </c>
      <c r="K87" s="2">
        <f t="shared" si="3"/>
        <v>0.15255076770678555</v>
      </c>
      <c r="L87" t="str">
        <f>IF(Excel_Data_Analytics_Dataset!J87&gt;15000,"Excellent",IF(Excel_Data_Analytics_Dataset!J87&gt;=5000,"Good","Poor"))</f>
        <v>Poor</v>
      </c>
      <c r="M87">
        <f>IF(Table1[[#This Row],[Category]]="Electronics",Excel_Data_Analytics_Dataset!H87*5%,Excel_Data_Analytics_Dataset!H87*8%)</f>
        <v>807.6</v>
      </c>
      <c r="N87">
        <f>SUM(H$2:H87)</f>
        <v>1416145</v>
      </c>
    </row>
    <row r="88" spans="1:14" x14ac:dyDescent="0.25">
      <c r="A88">
        <v>87</v>
      </c>
      <c r="B88" s="13">
        <v>45746</v>
      </c>
      <c r="C88" t="s">
        <v>9</v>
      </c>
      <c r="D88" t="s">
        <v>18</v>
      </c>
      <c r="E88" t="s">
        <v>32</v>
      </c>
      <c r="F88" t="s">
        <v>50</v>
      </c>
      <c r="G88" t="s">
        <v>35</v>
      </c>
      <c r="H88">
        <v>23879</v>
      </c>
      <c r="I88">
        <v>16308</v>
      </c>
      <c r="J88">
        <f t="shared" si="2"/>
        <v>7571</v>
      </c>
      <c r="K88" s="2">
        <f t="shared" si="3"/>
        <v>0.31705682817538422</v>
      </c>
      <c r="L88" t="str">
        <f>IF(Excel_Data_Analytics_Dataset!J88&gt;15000,"Excellent",IF(Excel_Data_Analytics_Dataset!J88&gt;=5000,"Good","Poor"))</f>
        <v>Good</v>
      </c>
      <c r="M88">
        <f>IF(Table1[[#This Row],[Category]]="Electronics",Excel_Data_Analytics_Dataset!H88*5%,Excel_Data_Analytics_Dataset!H88*8%)</f>
        <v>1193.95</v>
      </c>
      <c r="N88">
        <f>SUM(H$2:H88)</f>
        <v>1440024</v>
      </c>
    </row>
    <row r="89" spans="1:14" x14ac:dyDescent="0.25">
      <c r="A89">
        <v>88</v>
      </c>
      <c r="B89" s="13">
        <v>45747</v>
      </c>
      <c r="C89" t="s">
        <v>14</v>
      </c>
      <c r="D89" t="s">
        <v>10</v>
      </c>
      <c r="E89" t="s">
        <v>21</v>
      </c>
      <c r="F89" t="s">
        <v>54</v>
      </c>
      <c r="G89" t="s">
        <v>28</v>
      </c>
      <c r="H89">
        <v>19812</v>
      </c>
      <c r="I89">
        <v>15108</v>
      </c>
      <c r="J89">
        <f t="shared" si="2"/>
        <v>4704</v>
      </c>
      <c r="K89" s="2">
        <f t="shared" si="3"/>
        <v>0.23743185947910359</v>
      </c>
      <c r="L89" t="str">
        <f>IF(Excel_Data_Analytics_Dataset!J89&gt;15000,"Excellent",IF(Excel_Data_Analytics_Dataset!J89&gt;=5000,"Good","Poor"))</f>
        <v>Poor</v>
      </c>
      <c r="M89">
        <f>IF(Table1[[#This Row],[Category]]="Electronics",Excel_Data_Analytics_Dataset!H89*5%,Excel_Data_Analytics_Dataset!H89*8%)</f>
        <v>1584.96</v>
      </c>
      <c r="N89">
        <f>SUM(H$2:H89)</f>
        <v>1459836</v>
      </c>
    </row>
    <row r="90" spans="1:14" x14ac:dyDescent="0.25">
      <c r="A90">
        <v>89</v>
      </c>
      <c r="B90" s="13">
        <v>45748</v>
      </c>
      <c r="C90" t="s">
        <v>37</v>
      </c>
      <c r="D90" t="s">
        <v>10</v>
      </c>
      <c r="E90" t="s">
        <v>11</v>
      </c>
      <c r="F90" t="s">
        <v>40</v>
      </c>
      <c r="G90" t="s">
        <v>35</v>
      </c>
      <c r="H90">
        <v>28689</v>
      </c>
      <c r="I90">
        <v>23198</v>
      </c>
      <c r="J90">
        <f t="shared" si="2"/>
        <v>5491</v>
      </c>
      <c r="K90" s="2">
        <f t="shared" si="3"/>
        <v>0.19139739970023353</v>
      </c>
      <c r="L90" t="str">
        <f>IF(Excel_Data_Analytics_Dataset!J90&gt;15000,"Excellent",IF(Excel_Data_Analytics_Dataset!J90&gt;=5000,"Good","Poor"))</f>
        <v>Good</v>
      </c>
      <c r="M90">
        <f>IF(Table1[[#This Row],[Category]]="Electronics",Excel_Data_Analytics_Dataset!H90*5%,Excel_Data_Analytics_Dataset!H90*8%)</f>
        <v>2295.12</v>
      </c>
      <c r="N90">
        <f>SUM(H$2:H90)</f>
        <v>1488525</v>
      </c>
    </row>
    <row r="91" spans="1:14" x14ac:dyDescent="0.25">
      <c r="A91">
        <v>90</v>
      </c>
      <c r="B91" s="13">
        <v>45749</v>
      </c>
      <c r="C91" t="s">
        <v>17</v>
      </c>
      <c r="D91" t="s">
        <v>10</v>
      </c>
      <c r="E91" t="s">
        <v>42</v>
      </c>
      <c r="F91" t="s">
        <v>66</v>
      </c>
      <c r="G91" t="s">
        <v>13</v>
      </c>
      <c r="H91">
        <v>22720</v>
      </c>
      <c r="I91">
        <v>16964</v>
      </c>
      <c r="J91">
        <f t="shared" si="2"/>
        <v>5756</v>
      </c>
      <c r="K91" s="2">
        <f t="shared" si="3"/>
        <v>0.25334507042253523</v>
      </c>
      <c r="L91" t="str">
        <f>IF(Excel_Data_Analytics_Dataset!J91&gt;15000,"Excellent",IF(Excel_Data_Analytics_Dataset!J91&gt;=5000,"Good","Poor"))</f>
        <v>Good</v>
      </c>
      <c r="M91">
        <f>IF(Table1[[#This Row],[Category]]="Electronics",Excel_Data_Analytics_Dataset!H91*5%,Excel_Data_Analytics_Dataset!H91*8%)</f>
        <v>1817.6000000000001</v>
      </c>
      <c r="N91">
        <f>SUM(H$2:H91)</f>
        <v>1511245</v>
      </c>
    </row>
    <row r="92" spans="1:14" x14ac:dyDescent="0.25">
      <c r="A92">
        <v>91</v>
      </c>
      <c r="B92" s="13">
        <v>45750</v>
      </c>
      <c r="C92" t="s">
        <v>17</v>
      </c>
      <c r="D92" t="s">
        <v>18</v>
      </c>
      <c r="E92" t="s">
        <v>19</v>
      </c>
      <c r="F92" t="s">
        <v>16</v>
      </c>
      <c r="G92" t="s">
        <v>28</v>
      </c>
      <c r="H92">
        <v>21070</v>
      </c>
      <c r="I92">
        <v>14232</v>
      </c>
      <c r="J92">
        <f t="shared" si="2"/>
        <v>6838</v>
      </c>
      <c r="K92" s="2">
        <f t="shared" si="3"/>
        <v>0.32453725676317041</v>
      </c>
      <c r="L92" t="str">
        <f>IF(Excel_Data_Analytics_Dataset!J92&gt;15000,"Excellent",IF(Excel_Data_Analytics_Dataset!J92&gt;=5000,"Good","Poor"))</f>
        <v>Good</v>
      </c>
      <c r="M92">
        <f>IF(Table1[[#This Row],[Category]]="Electronics",Excel_Data_Analytics_Dataset!H92*5%,Excel_Data_Analytics_Dataset!H92*8%)</f>
        <v>1053.5</v>
      </c>
      <c r="N92">
        <f>SUM(H$2:H92)</f>
        <v>1532315</v>
      </c>
    </row>
    <row r="93" spans="1:14" x14ac:dyDescent="0.25">
      <c r="A93">
        <v>92</v>
      </c>
      <c r="B93" s="13">
        <v>45751</v>
      </c>
      <c r="C93" t="s">
        <v>37</v>
      </c>
      <c r="D93" t="s">
        <v>10</v>
      </c>
      <c r="E93" t="s">
        <v>42</v>
      </c>
      <c r="F93" t="s">
        <v>61</v>
      </c>
      <c r="G93" t="s">
        <v>33</v>
      </c>
      <c r="H93">
        <v>5006</v>
      </c>
      <c r="I93">
        <v>3123</v>
      </c>
      <c r="J93">
        <f t="shared" si="2"/>
        <v>1883</v>
      </c>
      <c r="K93" s="2">
        <f t="shared" si="3"/>
        <v>0.37614862165401519</v>
      </c>
      <c r="L93" t="str">
        <f>IF(Excel_Data_Analytics_Dataset!J93&gt;15000,"Excellent",IF(Excel_Data_Analytics_Dataset!J93&gt;=5000,"Good","Poor"))</f>
        <v>Poor</v>
      </c>
      <c r="M93">
        <f>IF(Table1[[#This Row],[Category]]="Electronics",Excel_Data_Analytics_Dataset!H93*5%,Excel_Data_Analytics_Dataset!H93*8%)</f>
        <v>400.48</v>
      </c>
      <c r="N93">
        <f>SUM(H$2:H93)</f>
        <v>1537321</v>
      </c>
    </row>
    <row r="94" spans="1:14" x14ac:dyDescent="0.25">
      <c r="A94">
        <v>93</v>
      </c>
      <c r="B94" s="13">
        <v>45752</v>
      </c>
      <c r="C94" t="s">
        <v>17</v>
      </c>
      <c r="D94" t="s">
        <v>10</v>
      </c>
      <c r="E94" t="s">
        <v>11</v>
      </c>
      <c r="F94" t="s">
        <v>67</v>
      </c>
      <c r="G94" t="s">
        <v>33</v>
      </c>
      <c r="H94">
        <v>3008</v>
      </c>
      <c r="I94">
        <v>2561</v>
      </c>
      <c r="J94">
        <f t="shared" si="2"/>
        <v>447</v>
      </c>
      <c r="K94" s="2">
        <f t="shared" si="3"/>
        <v>0.14860372340425532</v>
      </c>
      <c r="L94" t="str">
        <f>IF(Excel_Data_Analytics_Dataset!J94&gt;15000,"Excellent",IF(Excel_Data_Analytics_Dataset!J94&gt;=5000,"Good","Poor"))</f>
        <v>Poor</v>
      </c>
      <c r="M94">
        <f>IF(Table1[[#This Row],[Category]]="Electronics",Excel_Data_Analytics_Dataset!H94*5%,Excel_Data_Analytics_Dataset!H94*8%)</f>
        <v>240.64000000000001</v>
      </c>
      <c r="N94">
        <f>SUM(H$2:H94)</f>
        <v>1540329</v>
      </c>
    </row>
    <row r="95" spans="1:14" x14ac:dyDescent="0.25">
      <c r="A95">
        <v>94</v>
      </c>
      <c r="B95" s="13">
        <v>45753</v>
      </c>
      <c r="C95" t="s">
        <v>17</v>
      </c>
      <c r="D95" t="s">
        <v>18</v>
      </c>
      <c r="E95" t="s">
        <v>29</v>
      </c>
      <c r="F95" t="s">
        <v>68</v>
      </c>
      <c r="G95" t="s">
        <v>23</v>
      </c>
      <c r="H95">
        <v>16731</v>
      </c>
      <c r="I95">
        <v>11214</v>
      </c>
      <c r="J95">
        <f t="shared" si="2"/>
        <v>5517</v>
      </c>
      <c r="K95" s="2">
        <f t="shared" si="3"/>
        <v>0.32974717590102204</v>
      </c>
      <c r="L95" t="str">
        <f>IF(Excel_Data_Analytics_Dataset!J95&gt;15000,"Excellent",IF(Excel_Data_Analytics_Dataset!J95&gt;=5000,"Good","Poor"))</f>
        <v>Good</v>
      </c>
      <c r="M95">
        <f>IF(Table1[[#This Row],[Category]]="Electronics",Excel_Data_Analytics_Dataset!H95*5%,Excel_Data_Analytics_Dataset!H95*8%)</f>
        <v>836.55000000000007</v>
      </c>
      <c r="N95">
        <f>SUM(H$2:H95)</f>
        <v>1557060</v>
      </c>
    </row>
    <row r="96" spans="1:14" x14ac:dyDescent="0.25">
      <c r="A96">
        <v>95</v>
      </c>
      <c r="B96" s="13">
        <v>45754</v>
      </c>
      <c r="C96" t="s">
        <v>37</v>
      </c>
      <c r="D96" t="s">
        <v>10</v>
      </c>
      <c r="E96" t="s">
        <v>42</v>
      </c>
      <c r="F96" t="s">
        <v>68</v>
      </c>
      <c r="G96" t="s">
        <v>33</v>
      </c>
      <c r="H96">
        <v>25721</v>
      </c>
      <c r="I96">
        <v>20828</v>
      </c>
      <c r="J96">
        <f t="shared" si="2"/>
        <v>4893</v>
      </c>
      <c r="K96" s="2">
        <f t="shared" si="3"/>
        <v>0.19023366121068389</v>
      </c>
      <c r="L96" t="str">
        <f>IF(Excel_Data_Analytics_Dataset!J96&gt;15000,"Excellent",IF(Excel_Data_Analytics_Dataset!J96&gt;=5000,"Good","Poor"))</f>
        <v>Poor</v>
      </c>
      <c r="M96">
        <f>IF(Table1[[#This Row],[Category]]="Electronics",Excel_Data_Analytics_Dataset!H96*5%,Excel_Data_Analytics_Dataset!H96*8%)</f>
        <v>2057.6799999999998</v>
      </c>
      <c r="N96">
        <f>SUM(H$2:H96)</f>
        <v>1582781</v>
      </c>
    </row>
    <row r="97" spans="1:14" x14ac:dyDescent="0.25">
      <c r="A97">
        <v>96</v>
      </c>
      <c r="B97" s="13">
        <v>45755</v>
      </c>
      <c r="C97" t="s">
        <v>17</v>
      </c>
      <c r="D97" t="s">
        <v>18</v>
      </c>
      <c r="E97" t="s">
        <v>26</v>
      </c>
      <c r="F97" t="s">
        <v>44</v>
      </c>
      <c r="G97" t="s">
        <v>33</v>
      </c>
      <c r="H97">
        <v>12746</v>
      </c>
      <c r="I97">
        <v>9105</v>
      </c>
      <c r="J97">
        <f t="shared" si="2"/>
        <v>3641</v>
      </c>
      <c r="K97" s="2">
        <f t="shared" si="3"/>
        <v>0.28565824572414877</v>
      </c>
      <c r="L97" t="str">
        <f>IF(Excel_Data_Analytics_Dataset!J97&gt;15000,"Excellent",IF(Excel_Data_Analytics_Dataset!J97&gt;=5000,"Good","Poor"))</f>
        <v>Poor</v>
      </c>
      <c r="M97">
        <f>IF(Table1[[#This Row],[Category]]="Electronics",Excel_Data_Analytics_Dataset!H97*5%,Excel_Data_Analytics_Dataset!H97*8%)</f>
        <v>637.30000000000007</v>
      </c>
      <c r="N97">
        <f>SUM(H$2:H97)</f>
        <v>1595527</v>
      </c>
    </row>
    <row r="98" spans="1:14" x14ac:dyDescent="0.25">
      <c r="A98">
        <v>97</v>
      </c>
      <c r="B98" s="13">
        <v>45756</v>
      </c>
      <c r="C98" t="s">
        <v>17</v>
      </c>
      <c r="D98" t="s">
        <v>10</v>
      </c>
      <c r="E98" t="s">
        <v>11</v>
      </c>
      <c r="F98" t="s">
        <v>69</v>
      </c>
      <c r="G98" t="s">
        <v>23</v>
      </c>
      <c r="H98">
        <v>17130</v>
      </c>
      <c r="I98">
        <v>12065</v>
      </c>
      <c r="J98">
        <f t="shared" si="2"/>
        <v>5065</v>
      </c>
      <c r="K98" s="2">
        <f t="shared" si="3"/>
        <v>0.29568009340338586</v>
      </c>
      <c r="L98" t="str">
        <f>IF(Excel_Data_Analytics_Dataset!J98&gt;15000,"Excellent",IF(Excel_Data_Analytics_Dataset!J98&gt;=5000,"Good","Poor"))</f>
        <v>Good</v>
      </c>
      <c r="M98">
        <f>IF(Table1[[#This Row],[Category]]="Electronics",Excel_Data_Analytics_Dataset!H98*5%,Excel_Data_Analytics_Dataset!H98*8%)</f>
        <v>1370.4</v>
      </c>
      <c r="N98">
        <f>SUM(H$2:H98)</f>
        <v>1612657</v>
      </c>
    </row>
    <row r="99" spans="1:14" x14ac:dyDescent="0.25">
      <c r="A99">
        <v>98</v>
      </c>
      <c r="B99" s="13">
        <v>45757</v>
      </c>
      <c r="C99" t="s">
        <v>37</v>
      </c>
      <c r="D99" t="s">
        <v>10</v>
      </c>
      <c r="E99" t="s">
        <v>42</v>
      </c>
      <c r="F99" t="s">
        <v>52</v>
      </c>
      <c r="G99" t="s">
        <v>33</v>
      </c>
      <c r="H99">
        <v>19263</v>
      </c>
      <c r="I99">
        <v>13395</v>
      </c>
      <c r="J99">
        <f t="shared" si="2"/>
        <v>5868</v>
      </c>
      <c r="K99" s="2">
        <f t="shared" si="3"/>
        <v>0.30462544774957173</v>
      </c>
      <c r="L99" t="str">
        <f>IF(Excel_Data_Analytics_Dataset!J99&gt;15000,"Excellent",IF(Excel_Data_Analytics_Dataset!J99&gt;=5000,"Good","Poor"))</f>
        <v>Good</v>
      </c>
      <c r="M99">
        <f>IF(Table1[[#This Row],[Category]]="Electronics",Excel_Data_Analytics_Dataset!H99*5%,Excel_Data_Analytics_Dataset!H99*8%)</f>
        <v>1541.04</v>
      </c>
      <c r="N99">
        <f>SUM(H$2:H99)</f>
        <v>1631920</v>
      </c>
    </row>
    <row r="100" spans="1:14" x14ac:dyDescent="0.25">
      <c r="A100">
        <v>99</v>
      </c>
      <c r="B100" s="13">
        <v>45758</v>
      </c>
      <c r="C100" t="s">
        <v>37</v>
      </c>
      <c r="D100" t="s">
        <v>18</v>
      </c>
      <c r="E100" t="s">
        <v>32</v>
      </c>
      <c r="F100" t="s">
        <v>70</v>
      </c>
      <c r="G100" t="s">
        <v>28</v>
      </c>
      <c r="H100">
        <v>19662</v>
      </c>
      <c r="I100">
        <v>14327</v>
      </c>
      <c r="J100">
        <f t="shared" si="2"/>
        <v>5335</v>
      </c>
      <c r="K100" s="2">
        <f t="shared" si="3"/>
        <v>0.27133557115247686</v>
      </c>
      <c r="L100" t="str">
        <f>IF(Excel_Data_Analytics_Dataset!J100&gt;15000,"Excellent",IF(Excel_Data_Analytics_Dataset!J100&gt;=5000,"Good","Poor"))</f>
        <v>Good</v>
      </c>
      <c r="M100">
        <f>IF(Table1[[#This Row],[Category]]="Electronics",Excel_Data_Analytics_Dataset!H100*5%,Excel_Data_Analytics_Dataset!H100*8%)</f>
        <v>983.1</v>
      </c>
      <c r="N100">
        <f>SUM(H$2:H100)</f>
        <v>1651582</v>
      </c>
    </row>
    <row r="101" spans="1:14" x14ac:dyDescent="0.25">
      <c r="A101">
        <v>100</v>
      </c>
      <c r="B101" s="13">
        <v>45759</v>
      </c>
      <c r="C101" t="s">
        <v>17</v>
      </c>
      <c r="D101" t="s">
        <v>10</v>
      </c>
      <c r="E101" t="s">
        <v>21</v>
      </c>
      <c r="F101" t="s">
        <v>47</v>
      </c>
      <c r="G101" t="s">
        <v>28</v>
      </c>
      <c r="H101">
        <v>25528</v>
      </c>
      <c r="I101">
        <v>22200</v>
      </c>
      <c r="J101">
        <f t="shared" si="2"/>
        <v>3328</v>
      </c>
      <c r="K101" s="2">
        <f t="shared" si="3"/>
        <v>0.13036665622062049</v>
      </c>
      <c r="L101" t="str">
        <f>IF(Excel_Data_Analytics_Dataset!J101&gt;15000,"Excellent",IF(Excel_Data_Analytics_Dataset!J101&gt;=5000,"Good","Poor"))</f>
        <v>Poor</v>
      </c>
      <c r="M101">
        <f>IF(Table1[[#This Row],[Category]]="Electronics",Excel_Data_Analytics_Dataset!H101*5%,Excel_Data_Analytics_Dataset!H101*8%)</f>
        <v>2042.24</v>
      </c>
      <c r="N101">
        <f>SUM(H$2:H101)</f>
        <v>1677110</v>
      </c>
    </row>
    <row r="102" spans="1:14" x14ac:dyDescent="0.25">
      <c r="A102">
        <v>101</v>
      </c>
      <c r="B102" s="13">
        <v>45760</v>
      </c>
      <c r="C102" t="s">
        <v>9</v>
      </c>
      <c r="D102" t="s">
        <v>10</v>
      </c>
      <c r="E102" t="s">
        <v>42</v>
      </c>
      <c r="F102" t="s">
        <v>68</v>
      </c>
      <c r="G102" t="s">
        <v>35</v>
      </c>
      <c r="H102">
        <v>5348</v>
      </c>
      <c r="I102">
        <v>3731</v>
      </c>
      <c r="J102">
        <f t="shared" si="2"/>
        <v>1617</v>
      </c>
      <c r="K102" s="2">
        <f t="shared" si="3"/>
        <v>0.30235602094240838</v>
      </c>
      <c r="L102" t="str">
        <f>IF(Excel_Data_Analytics_Dataset!J102&gt;15000,"Excellent",IF(Excel_Data_Analytics_Dataset!J102&gt;=5000,"Good","Poor"))</f>
        <v>Poor</v>
      </c>
      <c r="M102">
        <f>IF(Table1[[#This Row],[Category]]="Electronics",Excel_Data_Analytics_Dataset!H102*5%,Excel_Data_Analytics_Dataset!H102*8%)</f>
        <v>427.84000000000003</v>
      </c>
      <c r="N102">
        <f>SUM(H$2:H102)</f>
        <v>1682458</v>
      </c>
    </row>
    <row r="103" spans="1:14" x14ac:dyDescent="0.25">
      <c r="A103">
        <v>102</v>
      </c>
      <c r="B103" s="13">
        <v>45761</v>
      </c>
      <c r="C103" t="s">
        <v>37</v>
      </c>
      <c r="D103" t="s">
        <v>18</v>
      </c>
      <c r="E103" t="s">
        <v>32</v>
      </c>
      <c r="F103" t="s">
        <v>51</v>
      </c>
      <c r="G103" t="s">
        <v>35</v>
      </c>
      <c r="H103">
        <v>22285</v>
      </c>
      <c r="I103">
        <v>14394</v>
      </c>
      <c r="J103">
        <f t="shared" si="2"/>
        <v>7891</v>
      </c>
      <c r="K103" s="2">
        <f t="shared" si="3"/>
        <v>0.3540946825218757</v>
      </c>
      <c r="L103" t="str">
        <f>IF(Excel_Data_Analytics_Dataset!J103&gt;15000,"Excellent",IF(Excel_Data_Analytics_Dataset!J103&gt;=5000,"Good","Poor"))</f>
        <v>Good</v>
      </c>
      <c r="M103">
        <f>IF(Table1[[#This Row],[Category]]="Electronics",Excel_Data_Analytics_Dataset!H103*5%,Excel_Data_Analytics_Dataset!H103*8%)</f>
        <v>1114.25</v>
      </c>
      <c r="N103">
        <f>SUM(H$2:H103)</f>
        <v>1704743</v>
      </c>
    </row>
    <row r="104" spans="1:14" x14ac:dyDescent="0.25">
      <c r="A104">
        <v>103</v>
      </c>
      <c r="B104" s="13">
        <v>45762</v>
      </c>
      <c r="C104" t="s">
        <v>17</v>
      </c>
      <c r="D104" t="s">
        <v>10</v>
      </c>
      <c r="E104" t="s">
        <v>11</v>
      </c>
      <c r="F104" t="s">
        <v>71</v>
      </c>
      <c r="G104" t="s">
        <v>33</v>
      </c>
      <c r="H104">
        <v>17832</v>
      </c>
      <c r="I104">
        <v>14995</v>
      </c>
      <c r="J104">
        <f t="shared" si="2"/>
        <v>2837</v>
      </c>
      <c r="K104" s="2">
        <f t="shared" si="3"/>
        <v>0.15909600717810676</v>
      </c>
      <c r="L104" t="str">
        <f>IF(Excel_Data_Analytics_Dataset!J104&gt;15000,"Excellent",IF(Excel_Data_Analytics_Dataset!J104&gt;=5000,"Good","Poor"))</f>
        <v>Poor</v>
      </c>
      <c r="M104">
        <f>IF(Table1[[#This Row],[Category]]="Electronics",Excel_Data_Analytics_Dataset!H104*5%,Excel_Data_Analytics_Dataset!H104*8%)</f>
        <v>1426.56</v>
      </c>
      <c r="N104">
        <f>SUM(H$2:H104)</f>
        <v>1722575</v>
      </c>
    </row>
    <row r="105" spans="1:14" x14ac:dyDescent="0.25">
      <c r="A105">
        <v>104</v>
      </c>
      <c r="B105" s="13">
        <v>45763</v>
      </c>
      <c r="C105" t="s">
        <v>17</v>
      </c>
      <c r="D105" t="s">
        <v>18</v>
      </c>
      <c r="E105" t="s">
        <v>32</v>
      </c>
      <c r="F105" t="s">
        <v>55</v>
      </c>
      <c r="G105" t="s">
        <v>23</v>
      </c>
      <c r="H105">
        <v>18659</v>
      </c>
      <c r="I105">
        <v>11399</v>
      </c>
      <c r="J105">
        <f t="shared" si="2"/>
        <v>7260</v>
      </c>
      <c r="K105" s="2">
        <f t="shared" si="3"/>
        <v>0.38908837558282866</v>
      </c>
      <c r="L105" t="str">
        <f>IF(Excel_Data_Analytics_Dataset!J105&gt;15000,"Excellent",IF(Excel_Data_Analytics_Dataset!J105&gt;=5000,"Good","Poor"))</f>
        <v>Good</v>
      </c>
      <c r="M105">
        <f>IF(Table1[[#This Row],[Category]]="Electronics",Excel_Data_Analytics_Dataset!H105*5%,Excel_Data_Analytics_Dataset!H105*8%)</f>
        <v>932.95</v>
      </c>
      <c r="N105">
        <f>SUM(H$2:H105)</f>
        <v>1741234</v>
      </c>
    </row>
    <row r="106" spans="1:14" x14ac:dyDescent="0.25">
      <c r="A106">
        <v>105</v>
      </c>
      <c r="B106" s="13">
        <v>45764</v>
      </c>
      <c r="C106" t="s">
        <v>17</v>
      </c>
      <c r="D106" t="s">
        <v>10</v>
      </c>
      <c r="E106" t="s">
        <v>15</v>
      </c>
      <c r="F106" t="s">
        <v>36</v>
      </c>
      <c r="G106" t="s">
        <v>23</v>
      </c>
      <c r="H106">
        <v>8814</v>
      </c>
      <c r="I106">
        <v>7395</v>
      </c>
      <c r="J106">
        <f t="shared" si="2"/>
        <v>1419</v>
      </c>
      <c r="K106" s="2">
        <f t="shared" si="3"/>
        <v>0.16099387338325391</v>
      </c>
      <c r="L106" t="str">
        <f>IF(Excel_Data_Analytics_Dataset!J106&gt;15000,"Excellent",IF(Excel_Data_Analytics_Dataset!J106&gt;=5000,"Good","Poor"))</f>
        <v>Poor</v>
      </c>
      <c r="M106">
        <f>IF(Table1[[#This Row],[Category]]="Electronics",Excel_Data_Analytics_Dataset!H106*5%,Excel_Data_Analytics_Dataset!H106*8%)</f>
        <v>705.12</v>
      </c>
      <c r="N106">
        <f>SUM(H$2:H106)</f>
        <v>1750048</v>
      </c>
    </row>
    <row r="107" spans="1:14" x14ac:dyDescent="0.25">
      <c r="A107">
        <v>106</v>
      </c>
      <c r="B107" s="13">
        <v>45765</v>
      </c>
      <c r="C107" t="s">
        <v>37</v>
      </c>
      <c r="D107" t="s">
        <v>10</v>
      </c>
      <c r="E107" t="s">
        <v>15</v>
      </c>
      <c r="F107" t="s">
        <v>53</v>
      </c>
      <c r="G107" t="s">
        <v>28</v>
      </c>
      <c r="H107">
        <v>18540</v>
      </c>
      <c r="I107">
        <v>13865</v>
      </c>
      <c r="J107">
        <f t="shared" si="2"/>
        <v>4675</v>
      </c>
      <c r="K107" s="2">
        <f t="shared" si="3"/>
        <v>0.25215749730312836</v>
      </c>
      <c r="L107" t="str">
        <f>IF(Excel_Data_Analytics_Dataset!J107&gt;15000,"Excellent",IF(Excel_Data_Analytics_Dataset!J107&gt;=5000,"Good","Poor"))</f>
        <v>Poor</v>
      </c>
      <c r="M107">
        <f>IF(Table1[[#This Row],[Category]]="Electronics",Excel_Data_Analytics_Dataset!H107*5%,Excel_Data_Analytics_Dataset!H107*8%)</f>
        <v>1483.2</v>
      </c>
      <c r="N107">
        <f>SUM(H$2:H107)</f>
        <v>1768588</v>
      </c>
    </row>
    <row r="108" spans="1:14" x14ac:dyDescent="0.25">
      <c r="A108">
        <v>107</v>
      </c>
      <c r="B108" s="13">
        <v>45766</v>
      </c>
      <c r="C108" t="s">
        <v>37</v>
      </c>
      <c r="D108" t="s">
        <v>18</v>
      </c>
      <c r="E108" t="s">
        <v>26</v>
      </c>
      <c r="F108" t="s">
        <v>46</v>
      </c>
      <c r="G108" t="s">
        <v>13</v>
      </c>
      <c r="H108">
        <v>11682</v>
      </c>
      <c r="I108">
        <v>7094</v>
      </c>
      <c r="J108">
        <f t="shared" si="2"/>
        <v>4588</v>
      </c>
      <c r="K108" s="2">
        <f t="shared" si="3"/>
        <v>0.39274096901215544</v>
      </c>
      <c r="L108" t="str">
        <f>IF(Excel_Data_Analytics_Dataset!J108&gt;15000,"Excellent",IF(Excel_Data_Analytics_Dataset!J108&gt;=5000,"Good","Poor"))</f>
        <v>Poor</v>
      </c>
      <c r="M108">
        <f>IF(Table1[[#This Row],[Category]]="Electronics",Excel_Data_Analytics_Dataset!H108*5%,Excel_Data_Analytics_Dataset!H108*8%)</f>
        <v>584.1</v>
      </c>
      <c r="N108">
        <f>SUM(H$2:H108)</f>
        <v>1780270</v>
      </c>
    </row>
    <row r="109" spans="1:14" x14ac:dyDescent="0.25">
      <c r="A109">
        <v>108</v>
      </c>
      <c r="B109" s="13">
        <v>45767</v>
      </c>
      <c r="C109" t="s">
        <v>14</v>
      </c>
      <c r="D109" t="s">
        <v>18</v>
      </c>
      <c r="E109" t="s">
        <v>19</v>
      </c>
      <c r="F109" t="s">
        <v>40</v>
      </c>
      <c r="G109" t="s">
        <v>13</v>
      </c>
      <c r="H109">
        <v>28130</v>
      </c>
      <c r="I109">
        <v>17510</v>
      </c>
      <c r="J109">
        <f t="shared" si="2"/>
        <v>10620</v>
      </c>
      <c r="K109" s="2">
        <f t="shared" si="3"/>
        <v>0.37753288304301458</v>
      </c>
      <c r="L109" t="str">
        <f>IF(Excel_Data_Analytics_Dataset!J109&gt;15000,"Excellent",IF(Excel_Data_Analytics_Dataset!J109&gt;=5000,"Good","Poor"))</f>
        <v>Good</v>
      </c>
      <c r="M109">
        <f>IF(Table1[[#This Row],[Category]]="Electronics",Excel_Data_Analytics_Dataset!H109*5%,Excel_Data_Analytics_Dataset!H109*8%)</f>
        <v>1406.5</v>
      </c>
      <c r="N109">
        <f>SUM(H$2:H109)</f>
        <v>1808400</v>
      </c>
    </row>
    <row r="110" spans="1:14" x14ac:dyDescent="0.25">
      <c r="A110">
        <v>109</v>
      </c>
      <c r="B110" s="13">
        <v>45768</v>
      </c>
      <c r="C110" t="s">
        <v>17</v>
      </c>
      <c r="D110" t="s">
        <v>18</v>
      </c>
      <c r="E110" t="s">
        <v>26</v>
      </c>
      <c r="F110" t="s">
        <v>44</v>
      </c>
      <c r="G110" t="s">
        <v>28</v>
      </c>
      <c r="H110">
        <v>12219</v>
      </c>
      <c r="I110">
        <v>9328</v>
      </c>
      <c r="J110">
        <f t="shared" si="2"/>
        <v>2891</v>
      </c>
      <c r="K110" s="2">
        <f t="shared" si="3"/>
        <v>0.2365987396677306</v>
      </c>
      <c r="L110" t="str">
        <f>IF(Excel_Data_Analytics_Dataset!J110&gt;15000,"Excellent",IF(Excel_Data_Analytics_Dataset!J110&gt;=5000,"Good","Poor"))</f>
        <v>Poor</v>
      </c>
      <c r="M110">
        <f>IF(Table1[[#This Row],[Category]]="Electronics",Excel_Data_Analytics_Dataset!H110*5%,Excel_Data_Analytics_Dataset!H110*8%)</f>
        <v>610.95000000000005</v>
      </c>
      <c r="N110">
        <f>SUM(H$2:H110)</f>
        <v>1820619</v>
      </c>
    </row>
    <row r="111" spans="1:14" x14ac:dyDescent="0.25">
      <c r="A111">
        <v>110</v>
      </c>
      <c r="B111" s="13">
        <v>45769</v>
      </c>
      <c r="C111" t="s">
        <v>14</v>
      </c>
      <c r="D111" t="s">
        <v>18</v>
      </c>
      <c r="E111" t="s">
        <v>26</v>
      </c>
      <c r="F111" t="s">
        <v>62</v>
      </c>
      <c r="G111" t="s">
        <v>28</v>
      </c>
      <c r="H111">
        <v>13169</v>
      </c>
      <c r="I111">
        <v>8888</v>
      </c>
      <c r="J111">
        <f t="shared" si="2"/>
        <v>4281</v>
      </c>
      <c r="K111" s="2">
        <f t="shared" si="3"/>
        <v>0.32508163110334876</v>
      </c>
      <c r="L111" t="str">
        <f>IF(Excel_Data_Analytics_Dataset!J111&gt;15000,"Excellent",IF(Excel_Data_Analytics_Dataset!J111&gt;=5000,"Good","Poor"))</f>
        <v>Poor</v>
      </c>
      <c r="M111">
        <f>IF(Table1[[#This Row],[Category]]="Electronics",Excel_Data_Analytics_Dataset!H111*5%,Excel_Data_Analytics_Dataset!H111*8%)</f>
        <v>658.45</v>
      </c>
      <c r="N111">
        <f>SUM(H$2:H111)</f>
        <v>1833788</v>
      </c>
    </row>
    <row r="112" spans="1:14" x14ac:dyDescent="0.25">
      <c r="A112">
        <v>111</v>
      </c>
      <c r="B112" s="13">
        <v>45770</v>
      </c>
      <c r="C112" t="s">
        <v>37</v>
      </c>
      <c r="D112" t="s">
        <v>10</v>
      </c>
      <c r="E112" t="s">
        <v>15</v>
      </c>
      <c r="F112" t="s">
        <v>31</v>
      </c>
      <c r="G112" t="s">
        <v>33</v>
      </c>
      <c r="H112">
        <v>3614</v>
      </c>
      <c r="I112">
        <v>3028</v>
      </c>
      <c r="J112">
        <f t="shared" si="2"/>
        <v>586</v>
      </c>
      <c r="K112" s="2">
        <f t="shared" si="3"/>
        <v>0.16214720531267293</v>
      </c>
      <c r="L112" t="str">
        <f>IF(Excel_Data_Analytics_Dataset!J112&gt;15000,"Excellent",IF(Excel_Data_Analytics_Dataset!J112&gt;=5000,"Good","Poor"))</f>
        <v>Poor</v>
      </c>
      <c r="M112">
        <f>IF(Table1[[#This Row],[Category]]="Electronics",Excel_Data_Analytics_Dataset!H112*5%,Excel_Data_Analytics_Dataset!H112*8%)</f>
        <v>289.12</v>
      </c>
      <c r="N112">
        <f>SUM(H$2:H112)</f>
        <v>1837402</v>
      </c>
    </row>
    <row r="113" spans="1:14" x14ac:dyDescent="0.25">
      <c r="A113">
        <v>112</v>
      </c>
      <c r="B113" s="13">
        <v>45771</v>
      </c>
      <c r="C113" t="s">
        <v>37</v>
      </c>
      <c r="D113" t="s">
        <v>18</v>
      </c>
      <c r="E113" t="s">
        <v>26</v>
      </c>
      <c r="F113" t="s">
        <v>46</v>
      </c>
      <c r="G113" t="s">
        <v>28</v>
      </c>
      <c r="H113">
        <v>27189</v>
      </c>
      <c r="I113">
        <v>23741</v>
      </c>
      <c r="J113">
        <f t="shared" si="2"/>
        <v>3448</v>
      </c>
      <c r="K113" s="2">
        <f t="shared" si="3"/>
        <v>0.12681599176137409</v>
      </c>
      <c r="L113" t="str">
        <f>IF(Excel_Data_Analytics_Dataset!J113&gt;15000,"Excellent",IF(Excel_Data_Analytics_Dataset!J113&gt;=5000,"Good","Poor"))</f>
        <v>Poor</v>
      </c>
      <c r="M113">
        <f>IF(Table1[[#This Row],[Category]]="Electronics",Excel_Data_Analytics_Dataset!H113*5%,Excel_Data_Analytics_Dataset!H113*8%)</f>
        <v>1359.45</v>
      </c>
      <c r="N113">
        <f>SUM(H$2:H113)</f>
        <v>1864591</v>
      </c>
    </row>
    <row r="114" spans="1:14" x14ac:dyDescent="0.25">
      <c r="A114">
        <v>113</v>
      </c>
      <c r="B114" s="13">
        <v>45772</v>
      </c>
      <c r="C114" t="s">
        <v>17</v>
      </c>
      <c r="D114" t="s">
        <v>10</v>
      </c>
      <c r="E114" t="s">
        <v>15</v>
      </c>
      <c r="F114" t="s">
        <v>70</v>
      </c>
      <c r="G114" t="s">
        <v>23</v>
      </c>
      <c r="H114">
        <v>10537</v>
      </c>
      <c r="I114">
        <v>8770</v>
      </c>
      <c r="J114">
        <f t="shared" si="2"/>
        <v>1767</v>
      </c>
      <c r="K114" s="2">
        <f t="shared" si="3"/>
        <v>0.1676947897883648</v>
      </c>
      <c r="L114" t="str">
        <f>IF(Excel_Data_Analytics_Dataset!J114&gt;15000,"Excellent",IF(Excel_Data_Analytics_Dataset!J114&gt;=5000,"Good","Poor"))</f>
        <v>Poor</v>
      </c>
      <c r="M114">
        <f>IF(Table1[[#This Row],[Category]]="Electronics",Excel_Data_Analytics_Dataset!H114*5%,Excel_Data_Analytics_Dataset!H114*8%)</f>
        <v>842.96</v>
      </c>
      <c r="N114">
        <f>SUM(H$2:H114)</f>
        <v>1875128</v>
      </c>
    </row>
    <row r="115" spans="1:14" x14ac:dyDescent="0.25">
      <c r="A115">
        <v>114</v>
      </c>
      <c r="B115" s="13">
        <v>45773</v>
      </c>
      <c r="C115" t="s">
        <v>9</v>
      </c>
      <c r="D115" t="s">
        <v>18</v>
      </c>
      <c r="E115" t="s">
        <v>26</v>
      </c>
      <c r="F115" t="s">
        <v>68</v>
      </c>
      <c r="G115" t="s">
        <v>13</v>
      </c>
      <c r="H115">
        <v>7848</v>
      </c>
      <c r="I115">
        <v>4969</v>
      </c>
      <c r="J115">
        <f t="shared" si="2"/>
        <v>2879</v>
      </c>
      <c r="K115" s="2">
        <f t="shared" si="3"/>
        <v>0.36684505606523954</v>
      </c>
      <c r="L115" t="str">
        <f>IF(Excel_Data_Analytics_Dataset!J115&gt;15000,"Excellent",IF(Excel_Data_Analytics_Dataset!J115&gt;=5000,"Good","Poor"))</f>
        <v>Poor</v>
      </c>
      <c r="M115">
        <f>IF(Table1[[#This Row],[Category]]="Electronics",Excel_Data_Analytics_Dataset!H115*5%,Excel_Data_Analytics_Dataset!H115*8%)</f>
        <v>392.40000000000003</v>
      </c>
      <c r="N115">
        <f>SUM(H$2:H115)</f>
        <v>1882976</v>
      </c>
    </row>
    <row r="116" spans="1:14" x14ac:dyDescent="0.25">
      <c r="A116">
        <v>115</v>
      </c>
      <c r="B116" s="13">
        <v>45774</v>
      </c>
      <c r="C116" t="s">
        <v>17</v>
      </c>
      <c r="D116" t="s">
        <v>10</v>
      </c>
      <c r="E116" t="s">
        <v>15</v>
      </c>
      <c r="F116" t="s">
        <v>34</v>
      </c>
      <c r="G116" t="s">
        <v>28</v>
      </c>
      <c r="H116">
        <v>27755</v>
      </c>
      <c r="I116">
        <v>22304</v>
      </c>
      <c r="J116">
        <f t="shared" si="2"/>
        <v>5451</v>
      </c>
      <c r="K116" s="2">
        <f t="shared" si="3"/>
        <v>0.19639704557737345</v>
      </c>
      <c r="L116" t="str">
        <f>IF(Excel_Data_Analytics_Dataset!J116&gt;15000,"Excellent",IF(Excel_Data_Analytics_Dataset!J116&gt;=5000,"Good","Poor"))</f>
        <v>Good</v>
      </c>
      <c r="M116">
        <f>IF(Table1[[#This Row],[Category]]="Electronics",Excel_Data_Analytics_Dataset!H116*5%,Excel_Data_Analytics_Dataset!H116*8%)</f>
        <v>2220.4</v>
      </c>
      <c r="N116">
        <f>SUM(H$2:H116)</f>
        <v>1910731</v>
      </c>
    </row>
    <row r="117" spans="1:14" x14ac:dyDescent="0.25">
      <c r="A117">
        <v>116</v>
      </c>
      <c r="B117" s="13">
        <v>45775</v>
      </c>
      <c r="C117" t="s">
        <v>37</v>
      </c>
      <c r="D117" t="s">
        <v>18</v>
      </c>
      <c r="E117" t="s">
        <v>26</v>
      </c>
      <c r="F117" t="s">
        <v>53</v>
      </c>
      <c r="G117" t="s">
        <v>35</v>
      </c>
      <c r="H117">
        <v>4181</v>
      </c>
      <c r="I117">
        <v>2556</v>
      </c>
      <c r="J117">
        <f t="shared" si="2"/>
        <v>1625</v>
      </c>
      <c r="K117" s="2">
        <f t="shared" si="3"/>
        <v>0.38866299928246834</v>
      </c>
      <c r="L117" t="str">
        <f>IF(Excel_Data_Analytics_Dataset!J117&gt;15000,"Excellent",IF(Excel_Data_Analytics_Dataset!J117&gt;=5000,"Good","Poor"))</f>
        <v>Poor</v>
      </c>
      <c r="M117">
        <f>IF(Table1[[#This Row],[Category]]="Electronics",Excel_Data_Analytics_Dataset!H117*5%,Excel_Data_Analytics_Dataset!H117*8%)</f>
        <v>209.05</v>
      </c>
      <c r="N117">
        <f>SUM(H$2:H117)</f>
        <v>1914912</v>
      </c>
    </row>
    <row r="118" spans="1:14" x14ac:dyDescent="0.25">
      <c r="A118">
        <v>117</v>
      </c>
      <c r="B118" s="13">
        <v>45776</v>
      </c>
      <c r="C118" t="s">
        <v>9</v>
      </c>
      <c r="D118" t="s">
        <v>10</v>
      </c>
      <c r="E118" t="s">
        <v>21</v>
      </c>
      <c r="F118" t="s">
        <v>31</v>
      </c>
      <c r="G118" t="s">
        <v>28</v>
      </c>
      <c r="H118">
        <v>8389</v>
      </c>
      <c r="I118">
        <v>6532</v>
      </c>
      <c r="J118">
        <f t="shared" si="2"/>
        <v>1857</v>
      </c>
      <c r="K118" s="2">
        <f t="shared" si="3"/>
        <v>0.22136130647276195</v>
      </c>
      <c r="L118" t="str">
        <f>IF(Excel_Data_Analytics_Dataset!J118&gt;15000,"Excellent",IF(Excel_Data_Analytics_Dataset!J118&gt;=5000,"Good","Poor"))</f>
        <v>Poor</v>
      </c>
      <c r="M118">
        <f>IF(Table1[[#This Row],[Category]]="Electronics",Excel_Data_Analytics_Dataset!H118*5%,Excel_Data_Analytics_Dataset!H118*8%)</f>
        <v>671.12</v>
      </c>
      <c r="N118">
        <f>SUM(H$2:H118)</f>
        <v>1923301</v>
      </c>
    </row>
    <row r="119" spans="1:14" x14ac:dyDescent="0.25">
      <c r="A119">
        <v>118</v>
      </c>
      <c r="B119" s="13">
        <v>45777</v>
      </c>
      <c r="C119" t="s">
        <v>14</v>
      </c>
      <c r="D119" t="s">
        <v>10</v>
      </c>
      <c r="E119" t="s">
        <v>21</v>
      </c>
      <c r="F119" t="s">
        <v>24</v>
      </c>
      <c r="G119" t="s">
        <v>23</v>
      </c>
      <c r="H119">
        <v>5296</v>
      </c>
      <c r="I119">
        <v>4380</v>
      </c>
      <c r="J119">
        <f t="shared" si="2"/>
        <v>916</v>
      </c>
      <c r="K119" s="2">
        <f t="shared" si="3"/>
        <v>0.1729607250755287</v>
      </c>
      <c r="L119" t="str">
        <f>IF(Excel_Data_Analytics_Dataset!J119&gt;15000,"Excellent",IF(Excel_Data_Analytics_Dataset!J119&gt;=5000,"Good","Poor"))</f>
        <v>Poor</v>
      </c>
      <c r="M119">
        <f>IF(Table1[[#This Row],[Category]]="Electronics",Excel_Data_Analytics_Dataset!H119*5%,Excel_Data_Analytics_Dataset!H119*8%)</f>
        <v>423.68</v>
      </c>
      <c r="N119">
        <f>SUM(H$2:H119)</f>
        <v>1928597</v>
      </c>
    </row>
    <row r="120" spans="1:14" x14ac:dyDescent="0.25">
      <c r="A120">
        <v>119</v>
      </c>
      <c r="B120" s="13">
        <v>45778</v>
      </c>
      <c r="C120" t="s">
        <v>14</v>
      </c>
      <c r="D120" t="s">
        <v>18</v>
      </c>
      <c r="E120" t="s">
        <v>19</v>
      </c>
      <c r="F120" t="s">
        <v>60</v>
      </c>
      <c r="G120" t="s">
        <v>13</v>
      </c>
      <c r="H120">
        <v>23944</v>
      </c>
      <c r="I120">
        <v>15560</v>
      </c>
      <c r="J120">
        <f t="shared" si="2"/>
        <v>8384</v>
      </c>
      <c r="K120" s="2">
        <f t="shared" si="3"/>
        <v>0.35015035081857671</v>
      </c>
      <c r="L120" t="str">
        <f>IF(Excel_Data_Analytics_Dataset!J120&gt;15000,"Excellent",IF(Excel_Data_Analytics_Dataset!J120&gt;=5000,"Good","Poor"))</f>
        <v>Good</v>
      </c>
      <c r="M120">
        <f>IF(Table1[[#This Row],[Category]]="Electronics",Excel_Data_Analytics_Dataset!H120*5%,Excel_Data_Analytics_Dataset!H120*8%)</f>
        <v>1197.2</v>
      </c>
      <c r="N120">
        <f>SUM(H$2:H120)</f>
        <v>1952541</v>
      </c>
    </row>
    <row r="121" spans="1:14" x14ac:dyDescent="0.25">
      <c r="A121">
        <v>120</v>
      </c>
      <c r="B121" s="13">
        <v>45779</v>
      </c>
      <c r="C121" t="s">
        <v>37</v>
      </c>
      <c r="D121" t="s">
        <v>18</v>
      </c>
      <c r="E121" t="s">
        <v>19</v>
      </c>
      <c r="F121" t="s">
        <v>63</v>
      </c>
      <c r="G121" t="s">
        <v>23</v>
      </c>
      <c r="H121">
        <v>18898</v>
      </c>
      <c r="I121">
        <v>13265</v>
      </c>
      <c r="J121">
        <f t="shared" si="2"/>
        <v>5633</v>
      </c>
      <c r="K121" s="2">
        <f t="shared" si="3"/>
        <v>0.29807387025082022</v>
      </c>
      <c r="L121" t="str">
        <f>IF(Excel_Data_Analytics_Dataset!J121&gt;15000,"Excellent",IF(Excel_Data_Analytics_Dataset!J121&gt;=5000,"Good","Poor"))</f>
        <v>Good</v>
      </c>
      <c r="M121">
        <f>IF(Table1[[#This Row],[Category]]="Electronics",Excel_Data_Analytics_Dataset!H121*5%,Excel_Data_Analytics_Dataset!H121*8%)</f>
        <v>944.90000000000009</v>
      </c>
      <c r="N121">
        <f>SUM(H$2:H121)</f>
        <v>1971439</v>
      </c>
    </row>
    <row r="122" spans="1:14" x14ac:dyDescent="0.25">
      <c r="A122">
        <v>121</v>
      </c>
      <c r="B122" s="13">
        <v>45780</v>
      </c>
      <c r="C122" t="s">
        <v>9</v>
      </c>
      <c r="D122" t="s">
        <v>10</v>
      </c>
      <c r="E122" t="s">
        <v>11</v>
      </c>
      <c r="F122" t="s">
        <v>41</v>
      </c>
      <c r="G122" t="s">
        <v>35</v>
      </c>
      <c r="H122">
        <v>13655</v>
      </c>
      <c r="I122">
        <v>11129</v>
      </c>
      <c r="J122">
        <f t="shared" si="2"/>
        <v>2526</v>
      </c>
      <c r="K122" s="2">
        <f t="shared" si="3"/>
        <v>0.18498718418161844</v>
      </c>
      <c r="L122" t="str">
        <f>IF(Excel_Data_Analytics_Dataset!J122&gt;15000,"Excellent",IF(Excel_Data_Analytics_Dataset!J122&gt;=5000,"Good","Poor"))</f>
        <v>Poor</v>
      </c>
      <c r="M122">
        <f>IF(Table1[[#This Row],[Category]]="Electronics",Excel_Data_Analytics_Dataset!H122*5%,Excel_Data_Analytics_Dataset!H122*8%)</f>
        <v>1092.4000000000001</v>
      </c>
      <c r="N122">
        <f>SUM(H$2:H122)</f>
        <v>1985094</v>
      </c>
    </row>
    <row r="123" spans="1:14" x14ac:dyDescent="0.25">
      <c r="A123">
        <v>122</v>
      </c>
      <c r="B123" s="13">
        <v>45781</v>
      </c>
      <c r="C123" t="s">
        <v>37</v>
      </c>
      <c r="D123" t="s">
        <v>18</v>
      </c>
      <c r="E123" t="s">
        <v>19</v>
      </c>
      <c r="F123" t="s">
        <v>12</v>
      </c>
      <c r="G123" t="s">
        <v>35</v>
      </c>
      <c r="H123">
        <v>27432</v>
      </c>
      <c r="I123">
        <v>21904</v>
      </c>
      <c r="J123">
        <f t="shared" si="2"/>
        <v>5528</v>
      </c>
      <c r="K123" s="2">
        <f t="shared" si="3"/>
        <v>0.20151647710702827</v>
      </c>
      <c r="L123" t="str">
        <f>IF(Excel_Data_Analytics_Dataset!J123&gt;15000,"Excellent",IF(Excel_Data_Analytics_Dataset!J123&gt;=5000,"Good","Poor"))</f>
        <v>Good</v>
      </c>
      <c r="M123">
        <f>IF(Table1[[#This Row],[Category]]="Electronics",Excel_Data_Analytics_Dataset!H123*5%,Excel_Data_Analytics_Dataset!H123*8%)</f>
        <v>1371.6000000000001</v>
      </c>
      <c r="N123">
        <f>SUM(H$2:H123)</f>
        <v>2012526</v>
      </c>
    </row>
    <row r="124" spans="1:14" x14ac:dyDescent="0.25">
      <c r="A124">
        <v>123</v>
      </c>
      <c r="B124" s="13">
        <v>45782</v>
      </c>
      <c r="C124" t="s">
        <v>14</v>
      </c>
      <c r="D124" t="s">
        <v>18</v>
      </c>
      <c r="E124" t="s">
        <v>32</v>
      </c>
      <c r="F124" t="s">
        <v>41</v>
      </c>
      <c r="G124" t="s">
        <v>23</v>
      </c>
      <c r="H124">
        <v>22740</v>
      </c>
      <c r="I124">
        <v>15119</v>
      </c>
      <c r="J124">
        <f t="shared" si="2"/>
        <v>7621</v>
      </c>
      <c r="K124" s="2">
        <f t="shared" si="3"/>
        <v>0.33513632365875112</v>
      </c>
      <c r="L124" t="str">
        <f>IF(Excel_Data_Analytics_Dataset!J124&gt;15000,"Excellent",IF(Excel_Data_Analytics_Dataset!J124&gt;=5000,"Good","Poor"))</f>
        <v>Good</v>
      </c>
      <c r="M124">
        <f>IF(Table1[[#This Row],[Category]]="Electronics",Excel_Data_Analytics_Dataset!H124*5%,Excel_Data_Analytics_Dataset!H124*8%)</f>
        <v>1137</v>
      </c>
      <c r="N124">
        <f>SUM(H$2:H124)</f>
        <v>2035266</v>
      </c>
    </row>
    <row r="125" spans="1:14" x14ac:dyDescent="0.25">
      <c r="A125">
        <v>124</v>
      </c>
      <c r="B125" s="13">
        <v>45783</v>
      </c>
      <c r="C125" t="s">
        <v>9</v>
      </c>
      <c r="D125" t="s">
        <v>10</v>
      </c>
      <c r="E125" t="s">
        <v>21</v>
      </c>
      <c r="F125" t="s">
        <v>61</v>
      </c>
      <c r="G125" t="s">
        <v>28</v>
      </c>
      <c r="H125">
        <v>20494</v>
      </c>
      <c r="I125">
        <v>13939</v>
      </c>
      <c r="J125">
        <f t="shared" si="2"/>
        <v>6555</v>
      </c>
      <c r="K125" s="2">
        <f t="shared" si="3"/>
        <v>0.31984971211086172</v>
      </c>
      <c r="L125" t="str">
        <f>IF(Excel_Data_Analytics_Dataset!J125&gt;15000,"Excellent",IF(Excel_Data_Analytics_Dataset!J125&gt;=5000,"Good","Poor"))</f>
        <v>Good</v>
      </c>
      <c r="M125">
        <f>IF(Table1[[#This Row],[Category]]="Electronics",Excel_Data_Analytics_Dataset!H125*5%,Excel_Data_Analytics_Dataset!H125*8%)</f>
        <v>1639.52</v>
      </c>
      <c r="N125">
        <f>SUM(H$2:H125)</f>
        <v>2055760</v>
      </c>
    </row>
    <row r="126" spans="1:14" x14ac:dyDescent="0.25">
      <c r="A126">
        <v>125</v>
      </c>
      <c r="B126" s="13">
        <v>45784</v>
      </c>
      <c r="C126" t="s">
        <v>17</v>
      </c>
      <c r="D126" t="s">
        <v>10</v>
      </c>
      <c r="E126" t="s">
        <v>21</v>
      </c>
      <c r="F126" t="s">
        <v>40</v>
      </c>
      <c r="G126" t="s">
        <v>35</v>
      </c>
      <c r="H126">
        <v>4689</v>
      </c>
      <c r="I126">
        <v>3659</v>
      </c>
      <c r="J126">
        <f t="shared" si="2"/>
        <v>1030</v>
      </c>
      <c r="K126" s="2">
        <f t="shared" si="3"/>
        <v>0.21966304116016208</v>
      </c>
      <c r="L126" t="str">
        <f>IF(Excel_Data_Analytics_Dataset!J126&gt;15000,"Excellent",IF(Excel_Data_Analytics_Dataset!J126&gt;=5000,"Good","Poor"))</f>
        <v>Poor</v>
      </c>
      <c r="M126">
        <f>IF(Table1[[#This Row],[Category]]="Electronics",Excel_Data_Analytics_Dataset!H126*5%,Excel_Data_Analytics_Dataset!H126*8%)</f>
        <v>375.12</v>
      </c>
      <c r="N126">
        <f>SUM(H$2:H126)</f>
        <v>2060449</v>
      </c>
    </row>
    <row r="127" spans="1:14" x14ac:dyDescent="0.25">
      <c r="A127">
        <v>126</v>
      </c>
      <c r="B127" s="13">
        <v>45785</v>
      </c>
      <c r="C127" t="s">
        <v>37</v>
      </c>
      <c r="D127" t="s">
        <v>10</v>
      </c>
      <c r="E127" t="s">
        <v>21</v>
      </c>
      <c r="F127" t="s">
        <v>55</v>
      </c>
      <c r="G127" t="s">
        <v>35</v>
      </c>
      <c r="H127">
        <v>7805</v>
      </c>
      <c r="I127">
        <v>6809</v>
      </c>
      <c r="J127">
        <f t="shared" si="2"/>
        <v>996</v>
      </c>
      <c r="K127" s="2">
        <f t="shared" si="3"/>
        <v>0.1276105060858424</v>
      </c>
      <c r="L127" t="str">
        <f>IF(Excel_Data_Analytics_Dataset!J127&gt;15000,"Excellent",IF(Excel_Data_Analytics_Dataset!J127&gt;=5000,"Good","Poor"))</f>
        <v>Poor</v>
      </c>
      <c r="M127">
        <f>IF(Table1[[#This Row],[Category]]="Electronics",Excel_Data_Analytics_Dataset!H127*5%,Excel_Data_Analytics_Dataset!H127*8%)</f>
        <v>624.4</v>
      </c>
      <c r="N127">
        <f>SUM(H$2:H127)</f>
        <v>2068254</v>
      </c>
    </row>
    <row r="128" spans="1:14" x14ac:dyDescent="0.25">
      <c r="A128">
        <v>127</v>
      </c>
      <c r="B128" s="13">
        <v>45786</v>
      </c>
      <c r="C128" t="s">
        <v>14</v>
      </c>
      <c r="D128" t="s">
        <v>10</v>
      </c>
      <c r="E128" t="s">
        <v>15</v>
      </c>
      <c r="F128" t="s">
        <v>39</v>
      </c>
      <c r="G128" t="s">
        <v>28</v>
      </c>
      <c r="H128">
        <v>29035</v>
      </c>
      <c r="I128">
        <v>18117</v>
      </c>
      <c r="J128">
        <f t="shared" si="2"/>
        <v>10918</v>
      </c>
      <c r="K128" s="2">
        <f t="shared" si="3"/>
        <v>0.37602893060099879</v>
      </c>
      <c r="L128" t="str">
        <f>IF(Excel_Data_Analytics_Dataset!J128&gt;15000,"Excellent",IF(Excel_Data_Analytics_Dataset!J128&gt;=5000,"Good","Poor"))</f>
        <v>Good</v>
      </c>
      <c r="M128">
        <f>IF(Table1[[#This Row],[Category]]="Electronics",Excel_Data_Analytics_Dataset!H128*5%,Excel_Data_Analytics_Dataset!H128*8%)</f>
        <v>2322.8000000000002</v>
      </c>
      <c r="N128">
        <f>SUM(H$2:H128)</f>
        <v>2097289</v>
      </c>
    </row>
    <row r="129" spans="1:14" x14ac:dyDescent="0.25">
      <c r="A129">
        <v>128</v>
      </c>
      <c r="B129" s="13">
        <v>45787</v>
      </c>
      <c r="C129" t="s">
        <v>17</v>
      </c>
      <c r="D129" t="s">
        <v>10</v>
      </c>
      <c r="E129" t="s">
        <v>42</v>
      </c>
      <c r="F129" t="s">
        <v>20</v>
      </c>
      <c r="G129" t="s">
        <v>33</v>
      </c>
      <c r="H129">
        <v>28977</v>
      </c>
      <c r="I129">
        <v>20727</v>
      </c>
      <c r="J129">
        <f t="shared" si="2"/>
        <v>8250</v>
      </c>
      <c r="K129" s="2">
        <f t="shared" si="3"/>
        <v>0.28470856196293615</v>
      </c>
      <c r="L129" t="str">
        <f>IF(Excel_Data_Analytics_Dataset!J129&gt;15000,"Excellent",IF(Excel_Data_Analytics_Dataset!J129&gt;=5000,"Good","Poor"))</f>
        <v>Good</v>
      </c>
      <c r="M129">
        <f>IF(Table1[[#This Row],[Category]]="Electronics",Excel_Data_Analytics_Dataset!H129*5%,Excel_Data_Analytics_Dataset!H129*8%)</f>
        <v>2318.16</v>
      </c>
      <c r="N129">
        <f>SUM(H$2:H129)</f>
        <v>2126266</v>
      </c>
    </row>
    <row r="130" spans="1:14" x14ac:dyDescent="0.25">
      <c r="A130">
        <v>129</v>
      </c>
      <c r="B130" s="13">
        <v>45788</v>
      </c>
      <c r="C130" t="s">
        <v>14</v>
      </c>
      <c r="D130" t="s">
        <v>18</v>
      </c>
      <c r="E130" t="s">
        <v>32</v>
      </c>
      <c r="F130" t="s">
        <v>53</v>
      </c>
      <c r="G130" t="s">
        <v>23</v>
      </c>
      <c r="H130">
        <v>22701</v>
      </c>
      <c r="I130">
        <v>17830</v>
      </c>
      <c r="J130">
        <f t="shared" ref="J130:J193" si="4">H130-I130</f>
        <v>4871</v>
      </c>
      <c r="K130" s="2">
        <f t="shared" ref="K130:K193" si="5">J130/H130</f>
        <v>0.2145720452843487</v>
      </c>
      <c r="L130" t="str">
        <f>IF(Excel_Data_Analytics_Dataset!J130&gt;15000,"Excellent",IF(Excel_Data_Analytics_Dataset!J130&gt;=5000,"Good","Poor"))</f>
        <v>Poor</v>
      </c>
      <c r="M130">
        <f>IF(Table1[[#This Row],[Category]]="Electronics",Excel_Data_Analytics_Dataset!H130*5%,Excel_Data_Analytics_Dataset!H130*8%)</f>
        <v>1135.05</v>
      </c>
      <c r="N130">
        <f>SUM(H$2:H130)</f>
        <v>2148967</v>
      </c>
    </row>
    <row r="131" spans="1:14" x14ac:dyDescent="0.25">
      <c r="A131">
        <v>130</v>
      </c>
      <c r="B131" s="13">
        <v>45789</v>
      </c>
      <c r="C131" t="s">
        <v>9</v>
      </c>
      <c r="D131" t="s">
        <v>10</v>
      </c>
      <c r="E131" t="s">
        <v>21</v>
      </c>
      <c r="F131" t="s">
        <v>20</v>
      </c>
      <c r="G131" t="s">
        <v>23</v>
      </c>
      <c r="H131">
        <v>19348</v>
      </c>
      <c r="I131">
        <v>12365</v>
      </c>
      <c r="J131">
        <f t="shared" si="4"/>
        <v>6983</v>
      </c>
      <c r="K131" s="2">
        <f t="shared" si="5"/>
        <v>0.36091585693611744</v>
      </c>
      <c r="L131" t="str">
        <f>IF(Excel_Data_Analytics_Dataset!J131&gt;15000,"Excellent",IF(Excel_Data_Analytics_Dataset!J131&gt;=5000,"Good","Poor"))</f>
        <v>Good</v>
      </c>
      <c r="M131">
        <f>IF(Table1[[#This Row],[Category]]="Electronics",Excel_Data_Analytics_Dataset!H131*5%,Excel_Data_Analytics_Dataset!H131*8%)</f>
        <v>1547.8400000000001</v>
      </c>
      <c r="N131">
        <f>SUM(H$2:H131)</f>
        <v>2168315</v>
      </c>
    </row>
    <row r="132" spans="1:14" x14ac:dyDescent="0.25">
      <c r="A132">
        <v>131</v>
      </c>
      <c r="B132" s="13">
        <v>45790</v>
      </c>
      <c r="C132" t="s">
        <v>14</v>
      </c>
      <c r="D132" t="s">
        <v>10</v>
      </c>
      <c r="E132" t="s">
        <v>42</v>
      </c>
      <c r="F132" t="s">
        <v>60</v>
      </c>
      <c r="G132" t="s">
        <v>13</v>
      </c>
      <c r="H132">
        <v>17249</v>
      </c>
      <c r="I132">
        <v>15437</v>
      </c>
      <c r="J132">
        <f t="shared" si="4"/>
        <v>1812</v>
      </c>
      <c r="K132" s="2">
        <f t="shared" si="5"/>
        <v>0.10504956809090382</v>
      </c>
      <c r="L132" t="str">
        <f>IF(Excel_Data_Analytics_Dataset!J132&gt;15000,"Excellent",IF(Excel_Data_Analytics_Dataset!J132&gt;=5000,"Good","Poor"))</f>
        <v>Poor</v>
      </c>
      <c r="M132">
        <f>IF(Table1[[#This Row],[Category]]="Electronics",Excel_Data_Analytics_Dataset!H132*5%,Excel_Data_Analytics_Dataset!H132*8%)</f>
        <v>1379.92</v>
      </c>
      <c r="N132">
        <f>SUM(H$2:H132)</f>
        <v>2185564</v>
      </c>
    </row>
    <row r="133" spans="1:14" x14ac:dyDescent="0.25">
      <c r="A133">
        <v>132</v>
      </c>
      <c r="B133" s="13">
        <v>45791</v>
      </c>
      <c r="C133" t="s">
        <v>17</v>
      </c>
      <c r="D133" t="s">
        <v>10</v>
      </c>
      <c r="E133" t="s">
        <v>21</v>
      </c>
      <c r="F133" t="s">
        <v>49</v>
      </c>
      <c r="G133" t="s">
        <v>13</v>
      </c>
      <c r="H133">
        <v>11825</v>
      </c>
      <c r="I133">
        <v>10476</v>
      </c>
      <c r="J133">
        <f t="shared" si="4"/>
        <v>1349</v>
      </c>
      <c r="K133" s="2">
        <f t="shared" si="5"/>
        <v>0.11408033826638478</v>
      </c>
      <c r="L133" t="str">
        <f>IF(Excel_Data_Analytics_Dataset!J133&gt;15000,"Excellent",IF(Excel_Data_Analytics_Dataset!J133&gt;=5000,"Good","Poor"))</f>
        <v>Poor</v>
      </c>
      <c r="M133">
        <f>IF(Table1[[#This Row],[Category]]="Electronics",Excel_Data_Analytics_Dataset!H133*5%,Excel_Data_Analytics_Dataset!H133*8%)</f>
        <v>946</v>
      </c>
      <c r="N133">
        <f>SUM(H$2:H133)</f>
        <v>2197389</v>
      </c>
    </row>
    <row r="134" spans="1:14" x14ac:dyDescent="0.25">
      <c r="A134">
        <v>133</v>
      </c>
      <c r="B134" s="13">
        <v>45792</v>
      </c>
      <c r="C134" t="s">
        <v>37</v>
      </c>
      <c r="D134" t="s">
        <v>18</v>
      </c>
      <c r="E134" t="s">
        <v>26</v>
      </c>
      <c r="F134" t="s">
        <v>45</v>
      </c>
      <c r="G134" t="s">
        <v>28</v>
      </c>
      <c r="H134">
        <v>17610</v>
      </c>
      <c r="I134">
        <v>12853</v>
      </c>
      <c r="J134">
        <f t="shared" si="4"/>
        <v>4757</v>
      </c>
      <c r="K134" s="2">
        <f t="shared" si="5"/>
        <v>0.2701306076093129</v>
      </c>
      <c r="L134" t="str">
        <f>IF(Excel_Data_Analytics_Dataset!J134&gt;15000,"Excellent",IF(Excel_Data_Analytics_Dataset!J134&gt;=5000,"Good","Poor"))</f>
        <v>Poor</v>
      </c>
      <c r="M134">
        <f>IF(Table1[[#This Row],[Category]]="Electronics",Excel_Data_Analytics_Dataset!H134*5%,Excel_Data_Analytics_Dataset!H134*8%)</f>
        <v>880.5</v>
      </c>
      <c r="N134">
        <f>SUM(H$2:H134)</f>
        <v>2214999</v>
      </c>
    </row>
    <row r="135" spans="1:14" x14ac:dyDescent="0.25">
      <c r="A135">
        <v>134</v>
      </c>
      <c r="B135" s="13">
        <v>45793</v>
      </c>
      <c r="C135" t="s">
        <v>9</v>
      </c>
      <c r="D135" t="s">
        <v>10</v>
      </c>
      <c r="E135" t="s">
        <v>15</v>
      </c>
      <c r="F135" t="s">
        <v>67</v>
      </c>
      <c r="G135" t="s">
        <v>33</v>
      </c>
      <c r="H135">
        <v>13456</v>
      </c>
      <c r="I135">
        <v>8137</v>
      </c>
      <c r="J135">
        <f t="shared" si="4"/>
        <v>5319</v>
      </c>
      <c r="K135" s="2">
        <f t="shared" si="5"/>
        <v>0.39528834720570749</v>
      </c>
      <c r="L135" t="str">
        <f>IF(Excel_Data_Analytics_Dataset!J135&gt;15000,"Excellent",IF(Excel_Data_Analytics_Dataset!J135&gt;=5000,"Good","Poor"))</f>
        <v>Good</v>
      </c>
      <c r="M135">
        <f>IF(Table1[[#This Row],[Category]]="Electronics",Excel_Data_Analytics_Dataset!H135*5%,Excel_Data_Analytics_Dataset!H135*8%)</f>
        <v>1076.48</v>
      </c>
      <c r="N135">
        <f>SUM(H$2:H135)</f>
        <v>2228455</v>
      </c>
    </row>
    <row r="136" spans="1:14" x14ac:dyDescent="0.25">
      <c r="A136">
        <v>135</v>
      </c>
      <c r="B136" s="13">
        <v>45794</v>
      </c>
      <c r="C136" t="s">
        <v>9</v>
      </c>
      <c r="D136" t="s">
        <v>10</v>
      </c>
      <c r="E136" t="s">
        <v>21</v>
      </c>
      <c r="F136" t="s">
        <v>50</v>
      </c>
      <c r="G136" t="s">
        <v>23</v>
      </c>
      <c r="H136">
        <v>21343</v>
      </c>
      <c r="I136">
        <v>13101</v>
      </c>
      <c r="J136">
        <f t="shared" si="4"/>
        <v>8242</v>
      </c>
      <c r="K136" s="2">
        <f t="shared" si="5"/>
        <v>0.38616876727732746</v>
      </c>
      <c r="L136" t="str">
        <f>IF(Excel_Data_Analytics_Dataset!J136&gt;15000,"Excellent",IF(Excel_Data_Analytics_Dataset!J136&gt;=5000,"Good","Poor"))</f>
        <v>Good</v>
      </c>
      <c r="M136">
        <f>IF(Table1[[#This Row],[Category]]="Electronics",Excel_Data_Analytics_Dataset!H136*5%,Excel_Data_Analytics_Dataset!H136*8%)</f>
        <v>1707.44</v>
      </c>
      <c r="N136">
        <f>SUM(H$2:H136)</f>
        <v>2249798</v>
      </c>
    </row>
    <row r="137" spans="1:14" x14ac:dyDescent="0.25">
      <c r="A137">
        <v>136</v>
      </c>
      <c r="B137" s="13">
        <v>45795</v>
      </c>
      <c r="C137" t="s">
        <v>17</v>
      </c>
      <c r="D137" t="s">
        <v>10</v>
      </c>
      <c r="E137" t="s">
        <v>21</v>
      </c>
      <c r="F137" t="s">
        <v>66</v>
      </c>
      <c r="G137" t="s">
        <v>33</v>
      </c>
      <c r="H137">
        <v>16315</v>
      </c>
      <c r="I137">
        <v>14531</v>
      </c>
      <c r="J137">
        <f t="shared" si="4"/>
        <v>1784</v>
      </c>
      <c r="K137" s="2">
        <f t="shared" si="5"/>
        <v>0.10934722647870058</v>
      </c>
      <c r="L137" t="str">
        <f>IF(Excel_Data_Analytics_Dataset!J137&gt;15000,"Excellent",IF(Excel_Data_Analytics_Dataset!J137&gt;=5000,"Good","Poor"))</f>
        <v>Poor</v>
      </c>
      <c r="M137">
        <f>IF(Table1[[#This Row],[Category]]="Electronics",Excel_Data_Analytics_Dataset!H137*5%,Excel_Data_Analytics_Dataset!H137*8%)</f>
        <v>1305.2</v>
      </c>
      <c r="N137">
        <f>SUM(H$2:H137)</f>
        <v>2266113</v>
      </c>
    </row>
    <row r="138" spans="1:14" x14ac:dyDescent="0.25">
      <c r="A138">
        <v>137</v>
      </c>
      <c r="B138" s="13">
        <v>45796</v>
      </c>
      <c r="C138" t="s">
        <v>14</v>
      </c>
      <c r="D138" t="s">
        <v>18</v>
      </c>
      <c r="E138" t="s">
        <v>26</v>
      </c>
      <c r="F138" t="s">
        <v>61</v>
      </c>
      <c r="G138" t="s">
        <v>28</v>
      </c>
      <c r="H138">
        <v>21957</v>
      </c>
      <c r="I138">
        <v>13992</v>
      </c>
      <c r="J138">
        <f t="shared" si="4"/>
        <v>7965</v>
      </c>
      <c r="K138" s="2">
        <f t="shared" si="5"/>
        <v>0.36275447465500754</v>
      </c>
      <c r="L138" t="str">
        <f>IF(Excel_Data_Analytics_Dataset!J138&gt;15000,"Excellent",IF(Excel_Data_Analytics_Dataset!J138&gt;=5000,"Good","Poor"))</f>
        <v>Good</v>
      </c>
      <c r="M138">
        <f>IF(Table1[[#This Row],[Category]]="Electronics",Excel_Data_Analytics_Dataset!H138*5%,Excel_Data_Analytics_Dataset!H138*8%)</f>
        <v>1097.8500000000001</v>
      </c>
      <c r="N138">
        <f>SUM(H$2:H138)</f>
        <v>2288070</v>
      </c>
    </row>
    <row r="139" spans="1:14" x14ac:dyDescent="0.25">
      <c r="A139">
        <v>138</v>
      </c>
      <c r="B139" s="13">
        <v>45797</v>
      </c>
      <c r="C139" t="s">
        <v>17</v>
      </c>
      <c r="D139" t="s">
        <v>10</v>
      </c>
      <c r="E139" t="s">
        <v>42</v>
      </c>
      <c r="F139" t="s">
        <v>38</v>
      </c>
      <c r="G139" t="s">
        <v>28</v>
      </c>
      <c r="H139">
        <v>7509</v>
      </c>
      <c r="I139">
        <v>5216</v>
      </c>
      <c r="J139">
        <f t="shared" si="4"/>
        <v>2293</v>
      </c>
      <c r="K139" s="2">
        <f t="shared" si="5"/>
        <v>0.30536689306165932</v>
      </c>
      <c r="L139" t="str">
        <f>IF(Excel_Data_Analytics_Dataset!J139&gt;15000,"Excellent",IF(Excel_Data_Analytics_Dataset!J139&gt;=5000,"Good","Poor"))</f>
        <v>Poor</v>
      </c>
      <c r="M139">
        <f>IF(Table1[[#This Row],[Category]]="Electronics",Excel_Data_Analytics_Dataset!H139*5%,Excel_Data_Analytics_Dataset!H139*8%)</f>
        <v>600.72</v>
      </c>
      <c r="N139">
        <f>SUM(H$2:H139)</f>
        <v>2295579</v>
      </c>
    </row>
    <row r="140" spans="1:14" x14ac:dyDescent="0.25">
      <c r="A140">
        <v>139</v>
      </c>
      <c r="B140" s="13">
        <v>45798</v>
      </c>
      <c r="C140" t="s">
        <v>9</v>
      </c>
      <c r="D140" t="s">
        <v>10</v>
      </c>
      <c r="E140" t="s">
        <v>11</v>
      </c>
      <c r="F140" t="s">
        <v>72</v>
      </c>
      <c r="G140" t="s">
        <v>35</v>
      </c>
      <c r="H140">
        <v>28336</v>
      </c>
      <c r="I140">
        <v>17187</v>
      </c>
      <c r="J140">
        <f t="shared" si="4"/>
        <v>11149</v>
      </c>
      <c r="K140" s="2">
        <f t="shared" si="5"/>
        <v>0.39345708639186899</v>
      </c>
      <c r="L140" t="str">
        <f>IF(Excel_Data_Analytics_Dataset!J140&gt;15000,"Excellent",IF(Excel_Data_Analytics_Dataset!J140&gt;=5000,"Good","Poor"))</f>
        <v>Good</v>
      </c>
      <c r="M140">
        <f>IF(Table1[[#This Row],[Category]]="Electronics",Excel_Data_Analytics_Dataset!H140*5%,Excel_Data_Analytics_Dataset!H140*8%)</f>
        <v>2266.88</v>
      </c>
      <c r="N140">
        <f>SUM(H$2:H140)</f>
        <v>2323915</v>
      </c>
    </row>
    <row r="141" spans="1:14" x14ac:dyDescent="0.25">
      <c r="A141">
        <v>140</v>
      </c>
      <c r="B141" s="13">
        <v>45799</v>
      </c>
      <c r="C141" t="s">
        <v>14</v>
      </c>
      <c r="D141" t="s">
        <v>10</v>
      </c>
      <c r="E141" t="s">
        <v>42</v>
      </c>
      <c r="F141" t="s">
        <v>73</v>
      </c>
      <c r="G141" t="s">
        <v>28</v>
      </c>
      <c r="H141">
        <v>7967</v>
      </c>
      <c r="I141">
        <v>6547</v>
      </c>
      <c r="J141">
        <f t="shared" si="4"/>
        <v>1420</v>
      </c>
      <c r="K141" s="2">
        <f t="shared" si="5"/>
        <v>0.17823522028367014</v>
      </c>
      <c r="L141" t="str">
        <f>IF(Excel_Data_Analytics_Dataset!J141&gt;15000,"Excellent",IF(Excel_Data_Analytics_Dataset!J141&gt;=5000,"Good","Poor"))</f>
        <v>Poor</v>
      </c>
      <c r="M141">
        <f>IF(Table1[[#This Row],[Category]]="Electronics",Excel_Data_Analytics_Dataset!H141*5%,Excel_Data_Analytics_Dataset!H141*8%)</f>
        <v>637.36</v>
      </c>
      <c r="N141">
        <f>SUM(H$2:H141)</f>
        <v>2331882</v>
      </c>
    </row>
    <row r="142" spans="1:14" x14ac:dyDescent="0.25">
      <c r="A142">
        <v>141</v>
      </c>
      <c r="B142" s="13">
        <v>45800</v>
      </c>
      <c r="C142" t="s">
        <v>9</v>
      </c>
      <c r="D142" t="s">
        <v>18</v>
      </c>
      <c r="E142" t="s">
        <v>32</v>
      </c>
      <c r="F142" t="s">
        <v>30</v>
      </c>
      <c r="G142" t="s">
        <v>33</v>
      </c>
      <c r="H142">
        <v>9266</v>
      </c>
      <c r="I142">
        <v>7251</v>
      </c>
      <c r="J142">
        <f t="shared" si="4"/>
        <v>2015</v>
      </c>
      <c r="K142" s="2">
        <f t="shared" si="5"/>
        <v>0.2174616878912152</v>
      </c>
      <c r="L142" t="str">
        <f>IF(Excel_Data_Analytics_Dataset!J142&gt;15000,"Excellent",IF(Excel_Data_Analytics_Dataset!J142&gt;=5000,"Good","Poor"))</f>
        <v>Poor</v>
      </c>
      <c r="M142">
        <f>IF(Table1[[#This Row],[Category]]="Electronics",Excel_Data_Analytics_Dataset!H142*5%,Excel_Data_Analytics_Dataset!H142*8%)</f>
        <v>463.3</v>
      </c>
      <c r="N142">
        <f>SUM(H$2:H142)</f>
        <v>2341148</v>
      </c>
    </row>
    <row r="143" spans="1:14" x14ac:dyDescent="0.25">
      <c r="A143">
        <v>142</v>
      </c>
      <c r="B143" s="13">
        <v>45801</v>
      </c>
      <c r="C143" t="s">
        <v>17</v>
      </c>
      <c r="D143" t="s">
        <v>18</v>
      </c>
      <c r="E143" t="s">
        <v>26</v>
      </c>
      <c r="F143" t="s">
        <v>43</v>
      </c>
      <c r="G143" t="s">
        <v>28</v>
      </c>
      <c r="H143">
        <v>18541</v>
      </c>
      <c r="I143">
        <v>12433</v>
      </c>
      <c r="J143">
        <f t="shared" si="4"/>
        <v>6108</v>
      </c>
      <c r="K143" s="2">
        <f t="shared" si="5"/>
        <v>0.32943206946766623</v>
      </c>
      <c r="L143" t="str">
        <f>IF(Excel_Data_Analytics_Dataset!J143&gt;15000,"Excellent",IF(Excel_Data_Analytics_Dataset!J143&gt;=5000,"Good","Poor"))</f>
        <v>Good</v>
      </c>
      <c r="M143">
        <f>IF(Table1[[#This Row],[Category]]="Electronics",Excel_Data_Analytics_Dataset!H143*5%,Excel_Data_Analytics_Dataset!H143*8%)</f>
        <v>927.05000000000007</v>
      </c>
      <c r="N143">
        <f>SUM(H$2:H143)</f>
        <v>2359689</v>
      </c>
    </row>
    <row r="144" spans="1:14" x14ac:dyDescent="0.25">
      <c r="A144">
        <v>143</v>
      </c>
      <c r="B144" s="13">
        <v>45802</v>
      </c>
      <c r="C144" t="s">
        <v>9</v>
      </c>
      <c r="D144" t="s">
        <v>18</v>
      </c>
      <c r="E144" t="s">
        <v>32</v>
      </c>
      <c r="F144" t="s">
        <v>74</v>
      </c>
      <c r="G144" t="s">
        <v>23</v>
      </c>
      <c r="H144">
        <v>12290</v>
      </c>
      <c r="I144">
        <v>8375</v>
      </c>
      <c r="J144">
        <f t="shared" si="4"/>
        <v>3915</v>
      </c>
      <c r="K144" s="2">
        <f t="shared" si="5"/>
        <v>0.31855166802278273</v>
      </c>
      <c r="L144" t="str">
        <f>IF(Excel_Data_Analytics_Dataset!J144&gt;15000,"Excellent",IF(Excel_Data_Analytics_Dataset!J144&gt;=5000,"Good","Poor"))</f>
        <v>Poor</v>
      </c>
      <c r="M144">
        <f>IF(Table1[[#This Row],[Category]]="Electronics",Excel_Data_Analytics_Dataset!H144*5%,Excel_Data_Analytics_Dataset!H144*8%)</f>
        <v>614.5</v>
      </c>
      <c r="N144">
        <f>SUM(H$2:H144)</f>
        <v>2371979</v>
      </c>
    </row>
    <row r="145" spans="1:14" x14ac:dyDescent="0.25">
      <c r="A145">
        <v>144</v>
      </c>
      <c r="B145" s="13">
        <v>45803</v>
      </c>
      <c r="C145" t="s">
        <v>14</v>
      </c>
      <c r="D145" t="s">
        <v>10</v>
      </c>
      <c r="E145" t="s">
        <v>15</v>
      </c>
      <c r="F145" t="s">
        <v>57</v>
      </c>
      <c r="G145" t="s">
        <v>23</v>
      </c>
      <c r="H145">
        <v>29811</v>
      </c>
      <c r="I145">
        <v>23913</v>
      </c>
      <c r="J145">
        <f t="shared" si="4"/>
        <v>5898</v>
      </c>
      <c r="K145" s="2">
        <f t="shared" si="5"/>
        <v>0.19784643252490691</v>
      </c>
      <c r="L145" t="str">
        <f>IF(Excel_Data_Analytics_Dataset!J145&gt;15000,"Excellent",IF(Excel_Data_Analytics_Dataset!J145&gt;=5000,"Good","Poor"))</f>
        <v>Good</v>
      </c>
      <c r="M145">
        <f>IF(Table1[[#This Row],[Category]]="Electronics",Excel_Data_Analytics_Dataset!H145*5%,Excel_Data_Analytics_Dataset!H145*8%)</f>
        <v>2384.88</v>
      </c>
      <c r="N145">
        <f>SUM(H$2:H145)</f>
        <v>2401790</v>
      </c>
    </row>
    <row r="146" spans="1:14" x14ac:dyDescent="0.25">
      <c r="A146">
        <v>145</v>
      </c>
      <c r="B146" s="13">
        <v>45804</v>
      </c>
      <c r="C146" t="s">
        <v>17</v>
      </c>
      <c r="D146" t="s">
        <v>18</v>
      </c>
      <c r="E146" t="s">
        <v>32</v>
      </c>
      <c r="F146" t="s">
        <v>50</v>
      </c>
      <c r="G146" t="s">
        <v>33</v>
      </c>
      <c r="H146">
        <v>3743</v>
      </c>
      <c r="I146">
        <v>2347</v>
      </c>
      <c r="J146">
        <f t="shared" si="4"/>
        <v>1396</v>
      </c>
      <c r="K146" s="2">
        <f t="shared" si="5"/>
        <v>0.37296286401282391</v>
      </c>
      <c r="L146" t="str">
        <f>IF(Excel_Data_Analytics_Dataset!J146&gt;15000,"Excellent",IF(Excel_Data_Analytics_Dataset!J146&gt;=5000,"Good","Poor"))</f>
        <v>Poor</v>
      </c>
      <c r="M146">
        <f>IF(Table1[[#This Row],[Category]]="Electronics",Excel_Data_Analytics_Dataset!H146*5%,Excel_Data_Analytics_Dataset!H146*8%)</f>
        <v>187.15</v>
      </c>
      <c r="N146">
        <f>SUM(H$2:H146)</f>
        <v>2405533</v>
      </c>
    </row>
    <row r="147" spans="1:14" x14ac:dyDescent="0.25">
      <c r="A147">
        <v>146</v>
      </c>
      <c r="B147" s="13">
        <v>45805</v>
      </c>
      <c r="C147" t="s">
        <v>14</v>
      </c>
      <c r="D147" t="s">
        <v>10</v>
      </c>
      <c r="E147" t="s">
        <v>11</v>
      </c>
      <c r="F147" t="s">
        <v>75</v>
      </c>
      <c r="G147" t="s">
        <v>33</v>
      </c>
      <c r="H147">
        <v>12655</v>
      </c>
      <c r="I147">
        <v>10478</v>
      </c>
      <c r="J147">
        <f t="shared" si="4"/>
        <v>2177</v>
      </c>
      <c r="K147" s="2">
        <f t="shared" si="5"/>
        <v>0.17202686685104701</v>
      </c>
      <c r="L147" t="str">
        <f>IF(Excel_Data_Analytics_Dataset!J147&gt;15000,"Excellent",IF(Excel_Data_Analytics_Dataset!J147&gt;=5000,"Good","Poor"))</f>
        <v>Poor</v>
      </c>
      <c r="M147">
        <f>IF(Table1[[#This Row],[Category]]="Electronics",Excel_Data_Analytics_Dataset!H147*5%,Excel_Data_Analytics_Dataset!H147*8%)</f>
        <v>1012.4</v>
      </c>
      <c r="N147">
        <f>SUM(H$2:H147)</f>
        <v>2418188</v>
      </c>
    </row>
    <row r="148" spans="1:14" x14ac:dyDescent="0.25">
      <c r="A148">
        <v>147</v>
      </c>
      <c r="B148" s="13">
        <v>45806</v>
      </c>
      <c r="C148" t="s">
        <v>9</v>
      </c>
      <c r="D148" t="s">
        <v>18</v>
      </c>
      <c r="E148" t="s">
        <v>26</v>
      </c>
      <c r="F148" t="s">
        <v>53</v>
      </c>
      <c r="G148" t="s">
        <v>23</v>
      </c>
      <c r="H148">
        <v>19492</v>
      </c>
      <c r="I148">
        <v>15052</v>
      </c>
      <c r="J148">
        <f t="shared" si="4"/>
        <v>4440</v>
      </c>
      <c r="K148" s="2">
        <f t="shared" si="5"/>
        <v>0.22778575825979888</v>
      </c>
      <c r="L148" t="str">
        <f>IF(Excel_Data_Analytics_Dataset!J148&gt;15000,"Excellent",IF(Excel_Data_Analytics_Dataset!J148&gt;=5000,"Good","Poor"))</f>
        <v>Poor</v>
      </c>
      <c r="M148">
        <f>IF(Table1[[#This Row],[Category]]="Electronics",Excel_Data_Analytics_Dataset!H148*5%,Excel_Data_Analytics_Dataset!H148*8%)</f>
        <v>974.6</v>
      </c>
      <c r="N148">
        <f>SUM(H$2:H148)</f>
        <v>2437680</v>
      </c>
    </row>
    <row r="149" spans="1:14" x14ac:dyDescent="0.25">
      <c r="A149">
        <v>148</v>
      </c>
      <c r="B149" s="13">
        <v>45807</v>
      </c>
      <c r="C149" t="s">
        <v>9</v>
      </c>
      <c r="D149" t="s">
        <v>18</v>
      </c>
      <c r="E149" t="s">
        <v>19</v>
      </c>
      <c r="F149" t="s">
        <v>76</v>
      </c>
      <c r="G149" t="s">
        <v>23</v>
      </c>
      <c r="H149">
        <v>23823</v>
      </c>
      <c r="I149">
        <v>15138</v>
      </c>
      <c r="J149">
        <f t="shared" si="4"/>
        <v>8685</v>
      </c>
      <c r="K149" s="2">
        <f t="shared" si="5"/>
        <v>0.36456365697015491</v>
      </c>
      <c r="L149" t="str">
        <f>IF(Excel_Data_Analytics_Dataset!J149&gt;15000,"Excellent",IF(Excel_Data_Analytics_Dataset!J149&gt;=5000,"Good","Poor"))</f>
        <v>Good</v>
      </c>
      <c r="M149">
        <f>IF(Table1[[#This Row],[Category]]="Electronics",Excel_Data_Analytics_Dataset!H149*5%,Excel_Data_Analytics_Dataset!H149*8%)</f>
        <v>1191.1500000000001</v>
      </c>
      <c r="N149">
        <f>SUM(H$2:H149)</f>
        <v>2461503</v>
      </c>
    </row>
    <row r="150" spans="1:14" x14ac:dyDescent="0.25">
      <c r="A150">
        <v>149</v>
      </c>
      <c r="B150" s="13">
        <v>45808</v>
      </c>
      <c r="C150" t="s">
        <v>37</v>
      </c>
      <c r="D150" t="s">
        <v>18</v>
      </c>
      <c r="E150" t="s">
        <v>32</v>
      </c>
      <c r="F150" t="s">
        <v>65</v>
      </c>
      <c r="G150" t="s">
        <v>13</v>
      </c>
      <c r="H150">
        <v>12233</v>
      </c>
      <c r="I150">
        <v>8248</v>
      </c>
      <c r="J150">
        <f t="shared" si="4"/>
        <v>3985</v>
      </c>
      <c r="K150" s="2">
        <f t="shared" si="5"/>
        <v>0.32575819504618653</v>
      </c>
      <c r="L150" t="str">
        <f>IF(Excel_Data_Analytics_Dataset!J150&gt;15000,"Excellent",IF(Excel_Data_Analytics_Dataset!J150&gt;=5000,"Good","Poor"))</f>
        <v>Poor</v>
      </c>
      <c r="M150">
        <f>IF(Table1[[#This Row],[Category]]="Electronics",Excel_Data_Analytics_Dataset!H150*5%,Excel_Data_Analytics_Dataset!H150*8%)</f>
        <v>611.65</v>
      </c>
      <c r="N150">
        <f>SUM(H$2:H150)</f>
        <v>2473736</v>
      </c>
    </row>
    <row r="151" spans="1:14" x14ac:dyDescent="0.25">
      <c r="A151">
        <v>150</v>
      </c>
      <c r="B151" s="13">
        <v>45809</v>
      </c>
      <c r="C151" t="s">
        <v>17</v>
      </c>
      <c r="D151" t="s">
        <v>10</v>
      </c>
      <c r="E151" t="s">
        <v>42</v>
      </c>
      <c r="F151" t="s">
        <v>58</v>
      </c>
      <c r="G151" t="s">
        <v>28</v>
      </c>
      <c r="H151">
        <v>3003</v>
      </c>
      <c r="I151">
        <v>2190</v>
      </c>
      <c r="J151">
        <f t="shared" si="4"/>
        <v>813</v>
      </c>
      <c r="K151" s="2">
        <f t="shared" si="5"/>
        <v>0.27072927072927072</v>
      </c>
      <c r="L151" t="str">
        <f>IF(Excel_Data_Analytics_Dataset!J151&gt;15000,"Excellent",IF(Excel_Data_Analytics_Dataset!J151&gt;=5000,"Good","Poor"))</f>
        <v>Poor</v>
      </c>
      <c r="M151">
        <f>IF(Table1[[#This Row],[Category]]="Electronics",Excel_Data_Analytics_Dataset!H151*5%,Excel_Data_Analytics_Dataset!H151*8%)</f>
        <v>240.24</v>
      </c>
      <c r="N151">
        <f>SUM(H$2:H151)</f>
        <v>2476739</v>
      </c>
    </row>
    <row r="152" spans="1:14" x14ac:dyDescent="0.25">
      <c r="A152">
        <v>151</v>
      </c>
      <c r="B152" s="13">
        <v>45810</v>
      </c>
      <c r="C152" t="s">
        <v>37</v>
      </c>
      <c r="D152" t="s">
        <v>18</v>
      </c>
      <c r="E152" t="s">
        <v>26</v>
      </c>
      <c r="F152" t="s">
        <v>44</v>
      </c>
      <c r="G152" t="s">
        <v>13</v>
      </c>
      <c r="H152">
        <v>21525</v>
      </c>
      <c r="I152">
        <v>15170</v>
      </c>
      <c r="J152">
        <f t="shared" si="4"/>
        <v>6355</v>
      </c>
      <c r="K152" s="2">
        <f t="shared" si="5"/>
        <v>0.29523809523809524</v>
      </c>
      <c r="L152" t="str">
        <f>IF(Excel_Data_Analytics_Dataset!J152&gt;15000,"Excellent",IF(Excel_Data_Analytics_Dataset!J152&gt;=5000,"Good","Poor"))</f>
        <v>Good</v>
      </c>
      <c r="M152">
        <f>IF(Table1[[#This Row],[Category]]="Electronics",Excel_Data_Analytics_Dataset!H152*5%,Excel_Data_Analytics_Dataset!H152*8%)</f>
        <v>1076.25</v>
      </c>
      <c r="N152">
        <f>SUM(H$2:H152)</f>
        <v>2498264</v>
      </c>
    </row>
    <row r="153" spans="1:14" x14ac:dyDescent="0.25">
      <c r="A153">
        <v>152</v>
      </c>
      <c r="B153" s="13">
        <v>45811</v>
      </c>
      <c r="C153" t="s">
        <v>9</v>
      </c>
      <c r="D153" t="s">
        <v>10</v>
      </c>
      <c r="E153" t="s">
        <v>11</v>
      </c>
      <c r="F153" t="s">
        <v>12</v>
      </c>
      <c r="G153" t="s">
        <v>35</v>
      </c>
      <c r="H153">
        <v>21312</v>
      </c>
      <c r="I153">
        <v>18369</v>
      </c>
      <c r="J153">
        <f t="shared" si="4"/>
        <v>2943</v>
      </c>
      <c r="K153" s="2">
        <f t="shared" si="5"/>
        <v>0.13809121621621623</v>
      </c>
      <c r="L153" t="str">
        <f>IF(Excel_Data_Analytics_Dataset!J153&gt;15000,"Excellent",IF(Excel_Data_Analytics_Dataset!J153&gt;=5000,"Good","Poor"))</f>
        <v>Poor</v>
      </c>
      <c r="M153">
        <f>IF(Table1[[#This Row],[Category]]="Electronics",Excel_Data_Analytics_Dataset!H153*5%,Excel_Data_Analytics_Dataset!H153*8%)</f>
        <v>1704.96</v>
      </c>
      <c r="N153">
        <f>SUM(H$2:H153)</f>
        <v>2519576</v>
      </c>
    </row>
    <row r="154" spans="1:14" x14ac:dyDescent="0.25">
      <c r="A154">
        <v>153</v>
      </c>
      <c r="B154" s="13">
        <v>45812</v>
      </c>
      <c r="C154" t="s">
        <v>9</v>
      </c>
      <c r="D154" t="s">
        <v>18</v>
      </c>
      <c r="E154" t="s">
        <v>29</v>
      </c>
      <c r="F154" t="s">
        <v>75</v>
      </c>
      <c r="G154" t="s">
        <v>35</v>
      </c>
      <c r="H154">
        <v>8413</v>
      </c>
      <c r="I154">
        <v>6580</v>
      </c>
      <c r="J154">
        <f t="shared" si="4"/>
        <v>1833</v>
      </c>
      <c r="K154" s="2">
        <f t="shared" si="5"/>
        <v>0.21787709497206703</v>
      </c>
      <c r="L154" t="str">
        <f>IF(Excel_Data_Analytics_Dataset!J154&gt;15000,"Excellent",IF(Excel_Data_Analytics_Dataset!J154&gt;=5000,"Good","Poor"))</f>
        <v>Poor</v>
      </c>
      <c r="M154">
        <f>IF(Table1[[#This Row],[Category]]="Electronics",Excel_Data_Analytics_Dataset!H154*5%,Excel_Data_Analytics_Dataset!H154*8%)</f>
        <v>420.65000000000003</v>
      </c>
      <c r="N154">
        <f>SUM(H$2:H154)</f>
        <v>2527989</v>
      </c>
    </row>
    <row r="155" spans="1:14" x14ac:dyDescent="0.25">
      <c r="A155">
        <v>154</v>
      </c>
      <c r="B155" s="13">
        <v>45813</v>
      </c>
      <c r="C155" t="s">
        <v>17</v>
      </c>
      <c r="D155" t="s">
        <v>10</v>
      </c>
      <c r="E155" t="s">
        <v>21</v>
      </c>
      <c r="F155" t="s">
        <v>20</v>
      </c>
      <c r="G155" t="s">
        <v>33</v>
      </c>
      <c r="H155">
        <v>4693</v>
      </c>
      <c r="I155">
        <v>3566</v>
      </c>
      <c r="J155">
        <f t="shared" si="4"/>
        <v>1127</v>
      </c>
      <c r="K155" s="2">
        <f t="shared" si="5"/>
        <v>0.24014489665459193</v>
      </c>
      <c r="L155" t="str">
        <f>IF(Excel_Data_Analytics_Dataset!J155&gt;15000,"Excellent",IF(Excel_Data_Analytics_Dataset!J155&gt;=5000,"Good","Poor"))</f>
        <v>Poor</v>
      </c>
      <c r="M155">
        <f>IF(Table1[[#This Row],[Category]]="Electronics",Excel_Data_Analytics_Dataset!H155*5%,Excel_Data_Analytics_Dataset!H155*8%)</f>
        <v>375.44</v>
      </c>
      <c r="N155">
        <f>SUM(H$2:H155)</f>
        <v>2532682</v>
      </c>
    </row>
    <row r="156" spans="1:14" x14ac:dyDescent="0.25">
      <c r="A156">
        <v>155</v>
      </c>
      <c r="B156" s="13">
        <v>45814</v>
      </c>
      <c r="C156" t="s">
        <v>9</v>
      </c>
      <c r="D156" t="s">
        <v>18</v>
      </c>
      <c r="E156" t="s">
        <v>32</v>
      </c>
      <c r="F156" t="s">
        <v>24</v>
      </c>
      <c r="G156" t="s">
        <v>35</v>
      </c>
      <c r="H156">
        <v>24941</v>
      </c>
      <c r="I156">
        <v>19960</v>
      </c>
      <c r="J156">
        <f t="shared" si="4"/>
        <v>4981</v>
      </c>
      <c r="K156" s="2">
        <f t="shared" si="5"/>
        <v>0.19971131871216069</v>
      </c>
      <c r="L156" t="str">
        <f>IF(Excel_Data_Analytics_Dataset!J156&gt;15000,"Excellent",IF(Excel_Data_Analytics_Dataset!J156&gt;=5000,"Good","Poor"))</f>
        <v>Poor</v>
      </c>
      <c r="M156">
        <f>IF(Table1[[#This Row],[Category]]="Electronics",Excel_Data_Analytics_Dataset!H156*5%,Excel_Data_Analytics_Dataset!H156*8%)</f>
        <v>1247.0500000000002</v>
      </c>
      <c r="N156">
        <f>SUM(H$2:H156)</f>
        <v>2557623</v>
      </c>
    </row>
    <row r="157" spans="1:14" x14ac:dyDescent="0.25">
      <c r="A157">
        <v>156</v>
      </c>
      <c r="B157" s="13">
        <v>45815</v>
      </c>
      <c r="C157" t="s">
        <v>9</v>
      </c>
      <c r="D157" t="s">
        <v>18</v>
      </c>
      <c r="E157" t="s">
        <v>19</v>
      </c>
      <c r="F157" t="s">
        <v>31</v>
      </c>
      <c r="G157" t="s">
        <v>33</v>
      </c>
      <c r="H157">
        <v>22511</v>
      </c>
      <c r="I157">
        <v>16616</v>
      </c>
      <c r="J157">
        <f t="shared" si="4"/>
        <v>5895</v>
      </c>
      <c r="K157" s="2">
        <f t="shared" si="5"/>
        <v>0.26187197370174581</v>
      </c>
      <c r="L157" t="str">
        <f>IF(Excel_Data_Analytics_Dataset!J157&gt;15000,"Excellent",IF(Excel_Data_Analytics_Dataset!J157&gt;=5000,"Good","Poor"))</f>
        <v>Good</v>
      </c>
      <c r="M157">
        <f>IF(Table1[[#This Row],[Category]]="Electronics",Excel_Data_Analytics_Dataset!H157*5%,Excel_Data_Analytics_Dataset!H157*8%)</f>
        <v>1125.55</v>
      </c>
      <c r="N157">
        <f>SUM(H$2:H157)</f>
        <v>2580134</v>
      </c>
    </row>
    <row r="158" spans="1:14" x14ac:dyDescent="0.25">
      <c r="A158">
        <v>157</v>
      </c>
      <c r="B158" s="13">
        <v>45816</v>
      </c>
      <c r="C158" t="s">
        <v>17</v>
      </c>
      <c r="D158" t="s">
        <v>10</v>
      </c>
      <c r="E158" t="s">
        <v>42</v>
      </c>
      <c r="F158" t="s">
        <v>38</v>
      </c>
      <c r="G158" t="s">
        <v>35</v>
      </c>
      <c r="H158">
        <v>13946</v>
      </c>
      <c r="I158">
        <v>12354</v>
      </c>
      <c r="J158">
        <f t="shared" si="4"/>
        <v>1592</v>
      </c>
      <c r="K158" s="2">
        <f t="shared" si="5"/>
        <v>0.11415459630001434</v>
      </c>
      <c r="L158" t="str">
        <f>IF(Excel_Data_Analytics_Dataset!J158&gt;15000,"Excellent",IF(Excel_Data_Analytics_Dataset!J158&gt;=5000,"Good","Poor"))</f>
        <v>Poor</v>
      </c>
      <c r="M158">
        <f>IF(Table1[[#This Row],[Category]]="Electronics",Excel_Data_Analytics_Dataset!H158*5%,Excel_Data_Analytics_Dataset!H158*8%)</f>
        <v>1115.68</v>
      </c>
      <c r="N158">
        <f>SUM(H$2:H158)</f>
        <v>2594080</v>
      </c>
    </row>
    <row r="159" spans="1:14" x14ac:dyDescent="0.25">
      <c r="A159">
        <v>158</v>
      </c>
      <c r="B159" s="13">
        <v>45817</v>
      </c>
      <c r="C159" t="s">
        <v>9</v>
      </c>
      <c r="D159" t="s">
        <v>10</v>
      </c>
      <c r="E159" t="s">
        <v>21</v>
      </c>
      <c r="F159" t="s">
        <v>63</v>
      </c>
      <c r="G159" t="s">
        <v>23</v>
      </c>
      <c r="H159">
        <v>21242</v>
      </c>
      <c r="I159">
        <v>14098</v>
      </c>
      <c r="J159">
        <f t="shared" si="4"/>
        <v>7144</v>
      </c>
      <c r="K159" s="2">
        <f t="shared" si="5"/>
        <v>0.3363148479427549</v>
      </c>
      <c r="L159" t="str">
        <f>IF(Excel_Data_Analytics_Dataset!J159&gt;15000,"Excellent",IF(Excel_Data_Analytics_Dataset!J159&gt;=5000,"Good","Poor"))</f>
        <v>Good</v>
      </c>
      <c r="M159">
        <f>IF(Table1[[#This Row],[Category]]="Electronics",Excel_Data_Analytics_Dataset!H159*5%,Excel_Data_Analytics_Dataset!H159*8%)</f>
        <v>1699.3600000000001</v>
      </c>
      <c r="N159">
        <f>SUM(H$2:H159)</f>
        <v>2615322</v>
      </c>
    </row>
    <row r="160" spans="1:14" x14ac:dyDescent="0.25">
      <c r="A160">
        <v>159</v>
      </c>
      <c r="B160" s="13">
        <v>45818</v>
      </c>
      <c r="C160" t="s">
        <v>9</v>
      </c>
      <c r="D160" t="s">
        <v>18</v>
      </c>
      <c r="E160" t="s">
        <v>32</v>
      </c>
      <c r="F160" t="s">
        <v>31</v>
      </c>
      <c r="G160" t="s">
        <v>28</v>
      </c>
      <c r="H160">
        <v>22822</v>
      </c>
      <c r="I160">
        <v>18664</v>
      </c>
      <c r="J160">
        <f t="shared" si="4"/>
        <v>4158</v>
      </c>
      <c r="K160" s="2">
        <f t="shared" si="5"/>
        <v>0.18219262115502585</v>
      </c>
      <c r="L160" t="str">
        <f>IF(Excel_Data_Analytics_Dataset!J160&gt;15000,"Excellent",IF(Excel_Data_Analytics_Dataset!J160&gt;=5000,"Good","Poor"))</f>
        <v>Poor</v>
      </c>
      <c r="M160">
        <f>IF(Table1[[#This Row],[Category]]="Electronics",Excel_Data_Analytics_Dataset!H160*5%,Excel_Data_Analytics_Dataset!H160*8%)</f>
        <v>1141.1000000000001</v>
      </c>
      <c r="N160">
        <f>SUM(H$2:H160)</f>
        <v>2638144</v>
      </c>
    </row>
    <row r="161" spans="1:14" x14ac:dyDescent="0.25">
      <c r="A161">
        <v>160</v>
      </c>
      <c r="B161" s="13">
        <v>45819</v>
      </c>
      <c r="C161" t="s">
        <v>14</v>
      </c>
      <c r="D161" t="s">
        <v>10</v>
      </c>
      <c r="E161" t="s">
        <v>11</v>
      </c>
      <c r="F161" t="s">
        <v>64</v>
      </c>
      <c r="G161" t="s">
        <v>23</v>
      </c>
      <c r="H161">
        <v>14825</v>
      </c>
      <c r="I161">
        <v>10070</v>
      </c>
      <c r="J161">
        <f t="shared" si="4"/>
        <v>4755</v>
      </c>
      <c r="K161" s="2">
        <f t="shared" si="5"/>
        <v>0.32074198988195618</v>
      </c>
      <c r="L161" t="str">
        <f>IF(Excel_Data_Analytics_Dataset!J161&gt;15000,"Excellent",IF(Excel_Data_Analytics_Dataset!J161&gt;=5000,"Good","Poor"))</f>
        <v>Poor</v>
      </c>
      <c r="M161">
        <f>IF(Table1[[#This Row],[Category]]="Electronics",Excel_Data_Analytics_Dataset!H161*5%,Excel_Data_Analytics_Dataset!H161*8%)</f>
        <v>1186</v>
      </c>
      <c r="N161">
        <f>SUM(H$2:H161)</f>
        <v>2652969</v>
      </c>
    </row>
    <row r="162" spans="1:14" x14ac:dyDescent="0.25">
      <c r="A162">
        <v>161</v>
      </c>
      <c r="B162" s="13">
        <v>45820</v>
      </c>
      <c r="C162" t="s">
        <v>9</v>
      </c>
      <c r="D162" t="s">
        <v>18</v>
      </c>
      <c r="E162" t="s">
        <v>29</v>
      </c>
      <c r="F162" t="s">
        <v>22</v>
      </c>
      <c r="G162" t="s">
        <v>28</v>
      </c>
      <c r="H162">
        <v>10106</v>
      </c>
      <c r="I162">
        <v>9039</v>
      </c>
      <c r="J162">
        <f t="shared" si="4"/>
        <v>1067</v>
      </c>
      <c r="K162" s="2">
        <f t="shared" si="5"/>
        <v>0.10558084306352662</v>
      </c>
      <c r="L162" t="str">
        <f>IF(Excel_Data_Analytics_Dataset!J162&gt;15000,"Excellent",IF(Excel_Data_Analytics_Dataset!J162&gt;=5000,"Good","Poor"))</f>
        <v>Poor</v>
      </c>
      <c r="M162">
        <f>IF(Table1[[#This Row],[Category]]="Electronics",Excel_Data_Analytics_Dataset!H162*5%,Excel_Data_Analytics_Dataset!H162*8%)</f>
        <v>505.3</v>
      </c>
      <c r="N162">
        <f>SUM(H$2:H162)</f>
        <v>2663075</v>
      </c>
    </row>
    <row r="163" spans="1:14" x14ac:dyDescent="0.25">
      <c r="A163">
        <v>162</v>
      </c>
      <c r="B163" s="13">
        <v>45821</v>
      </c>
      <c r="C163" t="s">
        <v>17</v>
      </c>
      <c r="D163" t="s">
        <v>18</v>
      </c>
      <c r="E163" t="s">
        <v>29</v>
      </c>
      <c r="F163" t="s">
        <v>30</v>
      </c>
      <c r="G163" t="s">
        <v>33</v>
      </c>
      <c r="H163">
        <v>24181</v>
      </c>
      <c r="I163">
        <v>17254</v>
      </c>
      <c r="J163">
        <f t="shared" si="4"/>
        <v>6927</v>
      </c>
      <c r="K163" s="2">
        <f t="shared" si="5"/>
        <v>0.28646457962863403</v>
      </c>
      <c r="L163" t="str">
        <f>IF(Excel_Data_Analytics_Dataset!J163&gt;15000,"Excellent",IF(Excel_Data_Analytics_Dataset!J163&gt;=5000,"Good","Poor"))</f>
        <v>Good</v>
      </c>
      <c r="M163">
        <f>IF(Table1[[#This Row],[Category]]="Electronics",Excel_Data_Analytics_Dataset!H163*5%,Excel_Data_Analytics_Dataset!H163*8%)</f>
        <v>1209.05</v>
      </c>
      <c r="N163">
        <f>SUM(H$2:H163)</f>
        <v>2687256</v>
      </c>
    </row>
    <row r="164" spans="1:14" x14ac:dyDescent="0.25">
      <c r="A164">
        <v>163</v>
      </c>
      <c r="B164" s="13">
        <v>45822</v>
      </c>
      <c r="C164" t="s">
        <v>37</v>
      </c>
      <c r="D164" t="s">
        <v>10</v>
      </c>
      <c r="E164" t="s">
        <v>11</v>
      </c>
      <c r="F164" t="s">
        <v>73</v>
      </c>
      <c r="G164" t="s">
        <v>23</v>
      </c>
      <c r="H164">
        <v>8789</v>
      </c>
      <c r="I164">
        <v>6768</v>
      </c>
      <c r="J164">
        <f t="shared" si="4"/>
        <v>2021</v>
      </c>
      <c r="K164" s="2">
        <f t="shared" si="5"/>
        <v>0.22994652406417113</v>
      </c>
      <c r="L164" t="str">
        <f>IF(Excel_Data_Analytics_Dataset!J164&gt;15000,"Excellent",IF(Excel_Data_Analytics_Dataset!J164&gt;=5000,"Good","Poor"))</f>
        <v>Poor</v>
      </c>
      <c r="M164">
        <f>IF(Table1[[#This Row],[Category]]="Electronics",Excel_Data_Analytics_Dataset!H164*5%,Excel_Data_Analytics_Dataset!H164*8%)</f>
        <v>703.12</v>
      </c>
      <c r="N164">
        <f>SUM(H$2:H164)</f>
        <v>2696045</v>
      </c>
    </row>
    <row r="165" spans="1:14" x14ac:dyDescent="0.25">
      <c r="A165">
        <v>164</v>
      </c>
      <c r="B165" s="13">
        <v>45823</v>
      </c>
      <c r="C165" t="s">
        <v>17</v>
      </c>
      <c r="D165" t="s">
        <v>10</v>
      </c>
      <c r="E165" t="s">
        <v>42</v>
      </c>
      <c r="F165" t="s">
        <v>56</v>
      </c>
      <c r="G165" t="s">
        <v>23</v>
      </c>
      <c r="H165">
        <v>17609</v>
      </c>
      <c r="I165">
        <v>13022</v>
      </c>
      <c r="J165">
        <f t="shared" si="4"/>
        <v>4587</v>
      </c>
      <c r="K165" s="2">
        <f t="shared" si="5"/>
        <v>0.26049179396899313</v>
      </c>
      <c r="L165" t="str">
        <f>IF(Excel_Data_Analytics_Dataset!J165&gt;15000,"Excellent",IF(Excel_Data_Analytics_Dataset!J165&gt;=5000,"Good","Poor"))</f>
        <v>Poor</v>
      </c>
      <c r="M165">
        <f>IF(Table1[[#This Row],[Category]]="Electronics",Excel_Data_Analytics_Dataset!H165*5%,Excel_Data_Analytics_Dataset!H165*8%)</f>
        <v>1408.72</v>
      </c>
      <c r="N165">
        <f>SUM(H$2:H165)</f>
        <v>2713654</v>
      </c>
    </row>
    <row r="166" spans="1:14" x14ac:dyDescent="0.25">
      <c r="A166">
        <v>165</v>
      </c>
      <c r="B166" s="13">
        <v>45824</v>
      </c>
      <c r="C166" t="s">
        <v>9</v>
      </c>
      <c r="D166" t="s">
        <v>10</v>
      </c>
      <c r="E166" t="s">
        <v>42</v>
      </c>
      <c r="F166" t="s">
        <v>72</v>
      </c>
      <c r="G166" t="s">
        <v>23</v>
      </c>
      <c r="H166">
        <v>12827</v>
      </c>
      <c r="I166">
        <v>10421</v>
      </c>
      <c r="J166">
        <f t="shared" si="4"/>
        <v>2406</v>
      </c>
      <c r="K166" s="2">
        <f t="shared" si="5"/>
        <v>0.18757308801746317</v>
      </c>
      <c r="L166" t="str">
        <f>IF(Excel_Data_Analytics_Dataset!J166&gt;15000,"Excellent",IF(Excel_Data_Analytics_Dataset!J166&gt;=5000,"Good","Poor"))</f>
        <v>Poor</v>
      </c>
      <c r="M166">
        <f>IF(Table1[[#This Row],[Category]]="Electronics",Excel_Data_Analytics_Dataset!H166*5%,Excel_Data_Analytics_Dataset!H166*8%)</f>
        <v>1026.1600000000001</v>
      </c>
      <c r="N166">
        <f>SUM(H$2:H166)</f>
        <v>2726481</v>
      </c>
    </row>
    <row r="167" spans="1:14" x14ac:dyDescent="0.25">
      <c r="A167">
        <v>166</v>
      </c>
      <c r="B167" s="13">
        <v>45825</v>
      </c>
      <c r="C167" t="s">
        <v>37</v>
      </c>
      <c r="D167" t="s">
        <v>10</v>
      </c>
      <c r="E167" t="s">
        <v>11</v>
      </c>
      <c r="F167" t="s">
        <v>41</v>
      </c>
      <c r="G167" t="s">
        <v>13</v>
      </c>
      <c r="H167">
        <v>7741</v>
      </c>
      <c r="I167">
        <v>6783</v>
      </c>
      <c r="J167">
        <f t="shared" si="4"/>
        <v>958</v>
      </c>
      <c r="K167" s="2">
        <f t="shared" si="5"/>
        <v>0.12375662059165482</v>
      </c>
      <c r="L167" t="str">
        <f>IF(Excel_Data_Analytics_Dataset!J167&gt;15000,"Excellent",IF(Excel_Data_Analytics_Dataset!J167&gt;=5000,"Good","Poor"))</f>
        <v>Poor</v>
      </c>
      <c r="M167">
        <f>IF(Table1[[#This Row],[Category]]="Electronics",Excel_Data_Analytics_Dataset!H167*5%,Excel_Data_Analytics_Dataset!H167*8%)</f>
        <v>619.28</v>
      </c>
      <c r="N167">
        <f>SUM(H$2:H167)</f>
        <v>2734222</v>
      </c>
    </row>
    <row r="168" spans="1:14" x14ac:dyDescent="0.25">
      <c r="A168">
        <v>167</v>
      </c>
      <c r="B168" s="13">
        <v>45826</v>
      </c>
      <c r="C168" t="s">
        <v>37</v>
      </c>
      <c r="D168" t="s">
        <v>18</v>
      </c>
      <c r="E168" t="s">
        <v>29</v>
      </c>
      <c r="F168" t="s">
        <v>45</v>
      </c>
      <c r="G168" t="s">
        <v>23</v>
      </c>
      <c r="H168">
        <v>27959</v>
      </c>
      <c r="I168">
        <v>23794</v>
      </c>
      <c r="J168">
        <f t="shared" si="4"/>
        <v>4165</v>
      </c>
      <c r="K168" s="2">
        <f t="shared" si="5"/>
        <v>0.14896813190743588</v>
      </c>
      <c r="L168" t="str">
        <f>IF(Excel_Data_Analytics_Dataset!J168&gt;15000,"Excellent",IF(Excel_Data_Analytics_Dataset!J168&gt;=5000,"Good","Poor"))</f>
        <v>Poor</v>
      </c>
      <c r="M168">
        <f>IF(Table1[[#This Row],[Category]]="Electronics",Excel_Data_Analytics_Dataset!H168*5%,Excel_Data_Analytics_Dataset!H168*8%)</f>
        <v>1397.95</v>
      </c>
      <c r="N168">
        <f>SUM(H$2:H168)</f>
        <v>2762181</v>
      </c>
    </row>
    <row r="169" spans="1:14" x14ac:dyDescent="0.25">
      <c r="A169">
        <v>168</v>
      </c>
      <c r="B169" s="13">
        <v>45827</v>
      </c>
      <c r="C169" t="s">
        <v>9</v>
      </c>
      <c r="D169" t="s">
        <v>10</v>
      </c>
      <c r="E169" t="s">
        <v>15</v>
      </c>
      <c r="F169" t="s">
        <v>73</v>
      </c>
      <c r="G169" t="s">
        <v>13</v>
      </c>
      <c r="H169">
        <v>9260</v>
      </c>
      <c r="I169">
        <v>8117</v>
      </c>
      <c r="J169">
        <f t="shared" si="4"/>
        <v>1143</v>
      </c>
      <c r="K169" s="2">
        <f t="shared" si="5"/>
        <v>0.12343412526997841</v>
      </c>
      <c r="L169" t="str">
        <f>IF(Excel_Data_Analytics_Dataset!J169&gt;15000,"Excellent",IF(Excel_Data_Analytics_Dataset!J169&gt;=5000,"Good","Poor"))</f>
        <v>Poor</v>
      </c>
      <c r="M169">
        <f>IF(Table1[[#This Row],[Category]]="Electronics",Excel_Data_Analytics_Dataset!H169*5%,Excel_Data_Analytics_Dataset!H169*8%)</f>
        <v>740.80000000000007</v>
      </c>
      <c r="N169">
        <f>SUM(H$2:H169)</f>
        <v>2771441</v>
      </c>
    </row>
    <row r="170" spans="1:14" x14ac:dyDescent="0.25">
      <c r="A170">
        <v>169</v>
      </c>
      <c r="B170" s="13">
        <v>45828</v>
      </c>
      <c r="C170" t="s">
        <v>37</v>
      </c>
      <c r="D170" t="s">
        <v>18</v>
      </c>
      <c r="E170" t="s">
        <v>32</v>
      </c>
      <c r="F170" t="s">
        <v>59</v>
      </c>
      <c r="G170" t="s">
        <v>13</v>
      </c>
      <c r="H170">
        <v>23426</v>
      </c>
      <c r="I170">
        <v>18470</v>
      </c>
      <c r="J170">
        <f t="shared" si="4"/>
        <v>4956</v>
      </c>
      <c r="K170" s="2">
        <f t="shared" si="5"/>
        <v>0.21155980534448904</v>
      </c>
      <c r="L170" t="str">
        <f>IF(Excel_Data_Analytics_Dataset!J170&gt;15000,"Excellent",IF(Excel_Data_Analytics_Dataset!J170&gt;=5000,"Good","Poor"))</f>
        <v>Poor</v>
      </c>
      <c r="M170">
        <f>IF(Table1[[#This Row],[Category]]="Electronics",Excel_Data_Analytics_Dataset!H170*5%,Excel_Data_Analytics_Dataset!H170*8%)</f>
        <v>1171.3</v>
      </c>
      <c r="N170">
        <f>SUM(H$2:H170)</f>
        <v>2794867</v>
      </c>
    </row>
    <row r="171" spans="1:14" x14ac:dyDescent="0.25">
      <c r="A171">
        <v>170</v>
      </c>
      <c r="B171" s="13">
        <v>45829</v>
      </c>
      <c r="C171" t="s">
        <v>17</v>
      </c>
      <c r="D171" t="s">
        <v>10</v>
      </c>
      <c r="E171" t="s">
        <v>11</v>
      </c>
      <c r="F171" t="s">
        <v>69</v>
      </c>
      <c r="G171" t="s">
        <v>28</v>
      </c>
      <c r="H171">
        <v>9672</v>
      </c>
      <c r="I171">
        <v>7495</v>
      </c>
      <c r="J171">
        <f t="shared" si="4"/>
        <v>2177</v>
      </c>
      <c r="K171" s="2">
        <f t="shared" si="5"/>
        <v>0.22508271298593879</v>
      </c>
      <c r="L171" t="str">
        <f>IF(Excel_Data_Analytics_Dataset!J171&gt;15000,"Excellent",IF(Excel_Data_Analytics_Dataset!J171&gt;=5000,"Good","Poor"))</f>
        <v>Poor</v>
      </c>
      <c r="M171">
        <f>IF(Table1[[#This Row],[Category]]="Electronics",Excel_Data_Analytics_Dataset!H171*5%,Excel_Data_Analytics_Dataset!H171*8%)</f>
        <v>773.76</v>
      </c>
      <c r="N171">
        <f>SUM(H$2:H171)</f>
        <v>2804539</v>
      </c>
    </row>
    <row r="172" spans="1:14" x14ac:dyDescent="0.25">
      <c r="A172">
        <v>171</v>
      </c>
      <c r="B172" s="13">
        <v>45830</v>
      </c>
      <c r="C172" t="s">
        <v>14</v>
      </c>
      <c r="D172" t="s">
        <v>10</v>
      </c>
      <c r="E172" t="s">
        <v>42</v>
      </c>
      <c r="F172" t="s">
        <v>67</v>
      </c>
      <c r="G172" t="s">
        <v>35</v>
      </c>
      <c r="H172">
        <v>15655</v>
      </c>
      <c r="I172">
        <v>12741</v>
      </c>
      <c r="J172">
        <f t="shared" si="4"/>
        <v>2914</v>
      </c>
      <c r="K172" s="2">
        <f t="shared" si="5"/>
        <v>0.18613861386138614</v>
      </c>
      <c r="L172" t="str">
        <f>IF(Excel_Data_Analytics_Dataset!J172&gt;15000,"Excellent",IF(Excel_Data_Analytics_Dataset!J172&gt;=5000,"Good","Poor"))</f>
        <v>Poor</v>
      </c>
      <c r="M172">
        <f>IF(Table1[[#This Row],[Category]]="Electronics",Excel_Data_Analytics_Dataset!H172*5%,Excel_Data_Analytics_Dataset!H172*8%)</f>
        <v>1252.4000000000001</v>
      </c>
      <c r="N172">
        <f>SUM(H$2:H172)</f>
        <v>2820194</v>
      </c>
    </row>
    <row r="173" spans="1:14" x14ac:dyDescent="0.25">
      <c r="A173">
        <v>172</v>
      </c>
      <c r="B173" s="13">
        <v>45831</v>
      </c>
      <c r="C173" t="s">
        <v>14</v>
      </c>
      <c r="D173" t="s">
        <v>10</v>
      </c>
      <c r="E173" t="s">
        <v>21</v>
      </c>
      <c r="F173" t="s">
        <v>30</v>
      </c>
      <c r="G173" t="s">
        <v>33</v>
      </c>
      <c r="H173">
        <v>4896</v>
      </c>
      <c r="I173">
        <v>3209</v>
      </c>
      <c r="J173">
        <f t="shared" si="4"/>
        <v>1687</v>
      </c>
      <c r="K173" s="2">
        <f t="shared" si="5"/>
        <v>0.34456699346405228</v>
      </c>
      <c r="L173" t="str">
        <f>IF(Excel_Data_Analytics_Dataset!J173&gt;15000,"Excellent",IF(Excel_Data_Analytics_Dataset!J173&gt;=5000,"Good","Poor"))</f>
        <v>Poor</v>
      </c>
      <c r="M173">
        <f>IF(Table1[[#This Row],[Category]]="Electronics",Excel_Data_Analytics_Dataset!H173*5%,Excel_Data_Analytics_Dataset!H173*8%)</f>
        <v>391.68</v>
      </c>
      <c r="N173">
        <f>SUM(H$2:H173)</f>
        <v>2825090</v>
      </c>
    </row>
    <row r="174" spans="1:14" x14ac:dyDescent="0.25">
      <c r="A174">
        <v>173</v>
      </c>
      <c r="B174" s="13">
        <v>45832</v>
      </c>
      <c r="C174" t="s">
        <v>17</v>
      </c>
      <c r="D174" t="s">
        <v>10</v>
      </c>
      <c r="E174" t="s">
        <v>15</v>
      </c>
      <c r="F174" t="s">
        <v>77</v>
      </c>
      <c r="G174" t="s">
        <v>13</v>
      </c>
      <c r="H174">
        <v>26624</v>
      </c>
      <c r="I174">
        <v>22645</v>
      </c>
      <c r="J174">
        <f t="shared" si="4"/>
        <v>3979</v>
      </c>
      <c r="K174" s="2">
        <f t="shared" si="5"/>
        <v>0.14945162259615385</v>
      </c>
      <c r="L174" t="str">
        <f>IF(Excel_Data_Analytics_Dataset!J174&gt;15000,"Excellent",IF(Excel_Data_Analytics_Dataset!J174&gt;=5000,"Good","Poor"))</f>
        <v>Poor</v>
      </c>
      <c r="M174">
        <f>IF(Table1[[#This Row],[Category]]="Electronics",Excel_Data_Analytics_Dataset!H174*5%,Excel_Data_Analytics_Dataset!H174*8%)</f>
        <v>2129.92</v>
      </c>
      <c r="N174">
        <f>SUM(H$2:H174)</f>
        <v>2851714</v>
      </c>
    </row>
    <row r="175" spans="1:14" x14ac:dyDescent="0.25">
      <c r="A175">
        <v>174</v>
      </c>
      <c r="B175" s="13">
        <v>45833</v>
      </c>
      <c r="C175" t="s">
        <v>9</v>
      </c>
      <c r="D175" t="s">
        <v>10</v>
      </c>
      <c r="E175" t="s">
        <v>11</v>
      </c>
      <c r="F175" t="s">
        <v>50</v>
      </c>
      <c r="G175" t="s">
        <v>28</v>
      </c>
      <c r="H175">
        <v>12390</v>
      </c>
      <c r="I175">
        <v>7893</v>
      </c>
      <c r="J175">
        <f t="shared" si="4"/>
        <v>4497</v>
      </c>
      <c r="K175" s="2">
        <f t="shared" si="5"/>
        <v>0.36295399515738497</v>
      </c>
      <c r="L175" t="str">
        <f>IF(Excel_Data_Analytics_Dataset!J175&gt;15000,"Excellent",IF(Excel_Data_Analytics_Dataset!J175&gt;=5000,"Good","Poor"))</f>
        <v>Poor</v>
      </c>
      <c r="M175">
        <f>IF(Table1[[#This Row],[Category]]="Electronics",Excel_Data_Analytics_Dataset!H175*5%,Excel_Data_Analytics_Dataset!H175*8%)</f>
        <v>991.2</v>
      </c>
      <c r="N175">
        <f>SUM(H$2:H175)</f>
        <v>2864104</v>
      </c>
    </row>
    <row r="176" spans="1:14" x14ac:dyDescent="0.25">
      <c r="A176">
        <v>175</v>
      </c>
      <c r="B176" s="13">
        <v>45834</v>
      </c>
      <c r="C176" t="s">
        <v>37</v>
      </c>
      <c r="D176" t="s">
        <v>18</v>
      </c>
      <c r="E176" t="s">
        <v>32</v>
      </c>
      <c r="F176" t="s">
        <v>41</v>
      </c>
      <c r="G176" t="s">
        <v>23</v>
      </c>
      <c r="H176">
        <v>16540</v>
      </c>
      <c r="I176">
        <v>13760</v>
      </c>
      <c r="J176">
        <f t="shared" si="4"/>
        <v>2780</v>
      </c>
      <c r="K176" s="2">
        <f t="shared" si="5"/>
        <v>0.16807738814993953</v>
      </c>
      <c r="L176" t="str">
        <f>IF(Excel_Data_Analytics_Dataset!J176&gt;15000,"Excellent",IF(Excel_Data_Analytics_Dataset!J176&gt;=5000,"Good","Poor"))</f>
        <v>Poor</v>
      </c>
      <c r="M176">
        <f>IF(Table1[[#This Row],[Category]]="Electronics",Excel_Data_Analytics_Dataset!H176*5%,Excel_Data_Analytics_Dataset!H176*8%)</f>
        <v>827</v>
      </c>
      <c r="N176">
        <f>SUM(H$2:H176)</f>
        <v>2880644</v>
      </c>
    </row>
    <row r="177" spans="1:14" x14ac:dyDescent="0.25">
      <c r="A177">
        <v>176</v>
      </c>
      <c r="B177" s="13">
        <v>45835</v>
      </c>
      <c r="C177" t="s">
        <v>9</v>
      </c>
      <c r="D177" t="s">
        <v>10</v>
      </c>
      <c r="E177" t="s">
        <v>42</v>
      </c>
      <c r="F177" t="s">
        <v>22</v>
      </c>
      <c r="G177" t="s">
        <v>13</v>
      </c>
      <c r="H177">
        <v>10981</v>
      </c>
      <c r="I177">
        <v>7782</v>
      </c>
      <c r="J177">
        <f t="shared" si="4"/>
        <v>3199</v>
      </c>
      <c r="K177" s="2">
        <f t="shared" si="5"/>
        <v>0.29132137328112195</v>
      </c>
      <c r="L177" t="str">
        <f>IF(Excel_Data_Analytics_Dataset!J177&gt;15000,"Excellent",IF(Excel_Data_Analytics_Dataset!J177&gt;=5000,"Good","Poor"))</f>
        <v>Poor</v>
      </c>
      <c r="M177">
        <f>IF(Table1[[#This Row],[Category]]="Electronics",Excel_Data_Analytics_Dataset!H177*5%,Excel_Data_Analytics_Dataset!H177*8%)</f>
        <v>878.48</v>
      </c>
      <c r="N177">
        <f>SUM(H$2:H177)</f>
        <v>2891625</v>
      </c>
    </row>
    <row r="178" spans="1:14" x14ac:dyDescent="0.25">
      <c r="A178">
        <v>177</v>
      </c>
      <c r="B178" s="13">
        <v>45836</v>
      </c>
      <c r="C178" t="s">
        <v>37</v>
      </c>
      <c r="D178" t="s">
        <v>10</v>
      </c>
      <c r="E178" t="s">
        <v>21</v>
      </c>
      <c r="F178" t="s">
        <v>57</v>
      </c>
      <c r="G178" t="s">
        <v>13</v>
      </c>
      <c r="H178">
        <v>11754</v>
      </c>
      <c r="I178">
        <v>8066</v>
      </c>
      <c r="J178">
        <f t="shared" si="4"/>
        <v>3688</v>
      </c>
      <c r="K178" s="2">
        <f t="shared" si="5"/>
        <v>0.31376552662923263</v>
      </c>
      <c r="L178" t="str">
        <f>IF(Excel_Data_Analytics_Dataset!J178&gt;15000,"Excellent",IF(Excel_Data_Analytics_Dataset!J178&gt;=5000,"Good","Poor"))</f>
        <v>Poor</v>
      </c>
      <c r="M178">
        <f>IF(Table1[[#This Row],[Category]]="Electronics",Excel_Data_Analytics_Dataset!H178*5%,Excel_Data_Analytics_Dataset!H178*8%)</f>
        <v>940.32</v>
      </c>
      <c r="N178">
        <f>SUM(H$2:H178)</f>
        <v>2903379</v>
      </c>
    </row>
    <row r="179" spans="1:14" x14ac:dyDescent="0.25">
      <c r="A179">
        <v>178</v>
      </c>
      <c r="B179" s="13">
        <v>45837</v>
      </c>
      <c r="C179" t="s">
        <v>37</v>
      </c>
      <c r="D179" t="s">
        <v>10</v>
      </c>
      <c r="E179" t="s">
        <v>21</v>
      </c>
      <c r="F179" t="s">
        <v>30</v>
      </c>
      <c r="G179" t="s">
        <v>28</v>
      </c>
      <c r="H179">
        <v>19787</v>
      </c>
      <c r="I179">
        <v>16448</v>
      </c>
      <c r="J179">
        <f t="shared" si="4"/>
        <v>3339</v>
      </c>
      <c r="K179" s="2">
        <f t="shared" si="5"/>
        <v>0.16874715722444028</v>
      </c>
      <c r="L179" t="str">
        <f>IF(Excel_Data_Analytics_Dataset!J179&gt;15000,"Excellent",IF(Excel_Data_Analytics_Dataset!J179&gt;=5000,"Good","Poor"))</f>
        <v>Poor</v>
      </c>
      <c r="M179">
        <f>IF(Table1[[#This Row],[Category]]="Electronics",Excel_Data_Analytics_Dataset!H179*5%,Excel_Data_Analytics_Dataset!H179*8%)</f>
        <v>1582.96</v>
      </c>
      <c r="N179">
        <f>SUM(H$2:H179)</f>
        <v>2923166</v>
      </c>
    </row>
    <row r="180" spans="1:14" x14ac:dyDescent="0.25">
      <c r="A180">
        <v>179</v>
      </c>
      <c r="B180" s="13">
        <v>45838</v>
      </c>
      <c r="C180" t="s">
        <v>14</v>
      </c>
      <c r="D180" t="s">
        <v>10</v>
      </c>
      <c r="E180" t="s">
        <v>42</v>
      </c>
      <c r="F180" t="s">
        <v>38</v>
      </c>
      <c r="G180" t="s">
        <v>28</v>
      </c>
      <c r="H180">
        <v>7183</v>
      </c>
      <c r="I180">
        <v>6189</v>
      </c>
      <c r="J180">
        <f t="shared" si="4"/>
        <v>994</v>
      </c>
      <c r="K180" s="2">
        <f t="shared" si="5"/>
        <v>0.13838229152164833</v>
      </c>
      <c r="L180" t="str">
        <f>IF(Excel_Data_Analytics_Dataset!J180&gt;15000,"Excellent",IF(Excel_Data_Analytics_Dataset!J180&gt;=5000,"Good","Poor"))</f>
        <v>Poor</v>
      </c>
      <c r="M180">
        <f>IF(Table1[[#This Row],[Category]]="Electronics",Excel_Data_Analytics_Dataset!H180*5%,Excel_Data_Analytics_Dataset!H180*8%)</f>
        <v>574.64</v>
      </c>
      <c r="N180">
        <f>SUM(H$2:H180)</f>
        <v>2930349</v>
      </c>
    </row>
    <row r="181" spans="1:14" x14ac:dyDescent="0.25">
      <c r="A181">
        <v>180</v>
      </c>
      <c r="B181" s="13">
        <v>45839</v>
      </c>
      <c r="C181" t="s">
        <v>14</v>
      </c>
      <c r="D181" t="s">
        <v>10</v>
      </c>
      <c r="E181" t="s">
        <v>15</v>
      </c>
      <c r="F181" t="s">
        <v>59</v>
      </c>
      <c r="G181" t="s">
        <v>35</v>
      </c>
      <c r="H181">
        <v>9341</v>
      </c>
      <c r="I181">
        <v>8029</v>
      </c>
      <c r="J181">
        <f t="shared" si="4"/>
        <v>1312</v>
      </c>
      <c r="K181" s="2">
        <f t="shared" si="5"/>
        <v>0.14045605395567926</v>
      </c>
      <c r="L181" t="str">
        <f>IF(Excel_Data_Analytics_Dataset!J181&gt;15000,"Excellent",IF(Excel_Data_Analytics_Dataset!J181&gt;=5000,"Good","Poor"))</f>
        <v>Poor</v>
      </c>
      <c r="M181">
        <f>IF(Table1[[#This Row],[Category]]="Electronics",Excel_Data_Analytics_Dataset!H181*5%,Excel_Data_Analytics_Dataset!H181*8%)</f>
        <v>747.28</v>
      </c>
      <c r="N181">
        <f>SUM(H$2:H181)</f>
        <v>2939690</v>
      </c>
    </row>
    <row r="182" spans="1:14" x14ac:dyDescent="0.25">
      <c r="A182">
        <v>181</v>
      </c>
      <c r="B182" s="13">
        <v>45840</v>
      </c>
      <c r="C182" t="s">
        <v>17</v>
      </c>
      <c r="D182" t="s">
        <v>10</v>
      </c>
      <c r="E182" t="s">
        <v>21</v>
      </c>
      <c r="F182" t="s">
        <v>71</v>
      </c>
      <c r="G182" t="s">
        <v>28</v>
      </c>
      <c r="H182">
        <v>17968</v>
      </c>
      <c r="I182">
        <v>13010</v>
      </c>
      <c r="J182">
        <f t="shared" si="4"/>
        <v>4958</v>
      </c>
      <c r="K182" s="2">
        <f t="shared" si="5"/>
        <v>0.27593499554764023</v>
      </c>
      <c r="L182" t="str">
        <f>IF(Excel_Data_Analytics_Dataset!J182&gt;15000,"Excellent",IF(Excel_Data_Analytics_Dataset!J182&gt;=5000,"Good","Poor"))</f>
        <v>Poor</v>
      </c>
      <c r="M182">
        <f>IF(Table1[[#This Row],[Category]]="Electronics",Excel_Data_Analytics_Dataset!H182*5%,Excel_Data_Analytics_Dataset!H182*8%)</f>
        <v>1437.44</v>
      </c>
      <c r="N182">
        <f>SUM(H$2:H182)</f>
        <v>2957658</v>
      </c>
    </row>
    <row r="183" spans="1:14" x14ac:dyDescent="0.25">
      <c r="A183">
        <v>182</v>
      </c>
      <c r="B183" s="13">
        <v>45841</v>
      </c>
      <c r="C183" t="s">
        <v>37</v>
      </c>
      <c r="D183" t="s">
        <v>18</v>
      </c>
      <c r="E183" t="s">
        <v>26</v>
      </c>
      <c r="F183" t="s">
        <v>71</v>
      </c>
      <c r="G183" t="s">
        <v>13</v>
      </c>
      <c r="H183">
        <v>13825</v>
      </c>
      <c r="I183">
        <v>8726</v>
      </c>
      <c r="J183">
        <f t="shared" si="4"/>
        <v>5099</v>
      </c>
      <c r="K183" s="2">
        <f t="shared" si="5"/>
        <v>0.36882459312839061</v>
      </c>
      <c r="L183" t="str">
        <f>IF(Excel_Data_Analytics_Dataset!J183&gt;15000,"Excellent",IF(Excel_Data_Analytics_Dataset!J183&gt;=5000,"Good","Poor"))</f>
        <v>Good</v>
      </c>
      <c r="M183">
        <f>IF(Table1[[#This Row],[Category]]="Electronics",Excel_Data_Analytics_Dataset!H183*5%,Excel_Data_Analytics_Dataset!H183*8%)</f>
        <v>691.25</v>
      </c>
      <c r="N183">
        <f>SUM(H$2:H183)</f>
        <v>2971483</v>
      </c>
    </row>
    <row r="184" spans="1:14" x14ac:dyDescent="0.25">
      <c r="A184">
        <v>183</v>
      </c>
      <c r="B184" s="13">
        <v>45842</v>
      </c>
      <c r="C184" t="s">
        <v>14</v>
      </c>
      <c r="D184" t="s">
        <v>10</v>
      </c>
      <c r="E184" t="s">
        <v>42</v>
      </c>
      <c r="F184" t="s">
        <v>53</v>
      </c>
      <c r="G184" t="s">
        <v>23</v>
      </c>
      <c r="H184">
        <v>12841</v>
      </c>
      <c r="I184">
        <v>11391</v>
      </c>
      <c r="J184">
        <f t="shared" si="4"/>
        <v>1450</v>
      </c>
      <c r="K184" s="2">
        <f t="shared" si="5"/>
        <v>0.11291955455182619</v>
      </c>
      <c r="L184" t="str">
        <f>IF(Excel_Data_Analytics_Dataset!J184&gt;15000,"Excellent",IF(Excel_Data_Analytics_Dataset!J184&gt;=5000,"Good","Poor"))</f>
        <v>Poor</v>
      </c>
      <c r="M184">
        <f>IF(Table1[[#This Row],[Category]]="Electronics",Excel_Data_Analytics_Dataset!H184*5%,Excel_Data_Analytics_Dataset!H184*8%)</f>
        <v>1027.28</v>
      </c>
      <c r="N184">
        <f>SUM(H$2:H184)</f>
        <v>2984324</v>
      </c>
    </row>
    <row r="185" spans="1:14" x14ac:dyDescent="0.25">
      <c r="A185">
        <v>184</v>
      </c>
      <c r="B185" s="13">
        <v>45843</v>
      </c>
      <c r="C185" t="s">
        <v>14</v>
      </c>
      <c r="D185" t="s">
        <v>10</v>
      </c>
      <c r="E185" t="s">
        <v>42</v>
      </c>
      <c r="F185" t="s">
        <v>27</v>
      </c>
      <c r="G185" t="s">
        <v>28</v>
      </c>
      <c r="H185">
        <v>15573</v>
      </c>
      <c r="I185">
        <v>9363</v>
      </c>
      <c r="J185">
        <f t="shared" si="4"/>
        <v>6210</v>
      </c>
      <c r="K185" s="2">
        <f t="shared" si="5"/>
        <v>0.39876709689847811</v>
      </c>
      <c r="L185" t="str">
        <f>IF(Excel_Data_Analytics_Dataset!J185&gt;15000,"Excellent",IF(Excel_Data_Analytics_Dataset!J185&gt;=5000,"Good","Poor"))</f>
        <v>Good</v>
      </c>
      <c r="M185">
        <f>IF(Table1[[#This Row],[Category]]="Electronics",Excel_Data_Analytics_Dataset!H185*5%,Excel_Data_Analytics_Dataset!H185*8%)</f>
        <v>1245.8399999999999</v>
      </c>
      <c r="N185">
        <f>SUM(H$2:H185)</f>
        <v>2999897</v>
      </c>
    </row>
    <row r="186" spans="1:14" x14ac:dyDescent="0.25">
      <c r="A186">
        <v>185</v>
      </c>
      <c r="B186" s="13">
        <v>45844</v>
      </c>
      <c r="C186" t="s">
        <v>17</v>
      </c>
      <c r="D186" t="s">
        <v>18</v>
      </c>
      <c r="E186" t="s">
        <v>29</v>
      </c>
      <c r="F186" t="s">
        <v>36</v>
      </c>
      <c r="G186" t="s">
        <v>23</v>
      </c>
      <c r="H186">
        <v>14137</v>
      </c>
      <c r="I186">
        <v>11432</v>
      </c>
      <c r="J186">
        <f t="shared" si="4"/>
        <v>2705</v>
      </c>
      <c r="K186" s="2">
        <f t="shared" si="5"/>
        <v>0.19134186885477825</v>
      </c>
      <c r="L186" t="str">
        <f>IF(Excel_Data_Analytics_Dataset!J186&gt;15000,"Excellent",IF(Excel_Data_Analytics_Dataset!J186&gt;=5000,"Good","Poor"))</f>
        <v>Poor</v>
      </c>
      <c r="M186">
        <f>IF(Table1[[#This Row],[Category]]="Electronics",Excel_Data_Analytics_Dataset!H186*5%,Excel_Data_Analytics_Dataset!H186*8%)</f>
        <v>706.85</v>
      </c>
      <c r="N186">
        <f>SUM(H$2:H186)</f>
        <v>3014034</v>
      </c>
    </row>
    <row r="187" spans="1:14" x14ac:dyDescent="0.25">
      <c r="A187">
        <v>186</v>
      </c>
      <c r="B187" s="13">
        <v>45845</v>
      </c>
      <c r="C187" t="s">
        <v>17</v>
      </c>
      <c r="D187" t="s">
        <v>10</v>
      </c>
      <c r="E187" t="s">
        <v>42</v>
      </c>
      <c r="F187" t="s">
        <v>54</v>
      </c>
      <c r="G187" t="s">
        <v>33</v>
      </c>
      <c r="H187">
        <v>10389</v>
      </c>
      <c r="I187">
        <v>8448</v>
      </c>
      <c r="J187">
        <f t="shared" si="4"/>
        <v>1941</v>
      </c>
      <c r="K187" s="2">
        <f t="shared" si="5"/>
        <v>0.1868322263933006</v>
      </c>
      <c r="L187" t="str">
        <f>IF(Excel_Data_Analytics_Dataset!J187&gt;15000,"Excellent",IF(Excel_Data_Analytics_Dataset!J187&gt;=5000,"Good","Poor"))</f>
        <v>Poor</v>
      </c>
      <c r="M187">
        <f>IF(Table1[[#This Row],[Category]]="Electronics",Excel_Data_Analytics_Dataset!H187*5%,Excel_Data_Analytics_Dataset!H187*8%)</f>
        <v>831.12</v>
      </c>
      <c r="N187">
        <f>SUM(H$2:H187)</f>
        <v>3024423</v>
      </c>
    </row>
    <row r="188" spans="1:14" x14ac:dyDescent="0.25">
      <c r="A188">
        <v>187</v>
      </c>
      <c r="B188" s="13">
        <v>45846</v>
      </c>
      <c r="C188" t="s">
        <v>14</v>
      </c>
      <c r="D188" t="s">
        <v>10</v>
      </c>
      <c r="E188" t="s">
        <v>42</v>
      </c>
      <c r="F188" t="s">
        <v>51</v>
      </c>
      <c r="G188" t="s">
        <v>28</v>
      </c>
      <c r="H188">
        <v>17123</v>
      </c>
      <c r="I188">
        <v>12494</v>
      </c>
      <c r="J188">
        <f t="shared" si="4"/>
        <v>4629</v>
      </c>
      <c r="K188" s="2">
        <f t="shared" si="5"/>
        <v>0.27033814168078024</v>
      </c>
      <c r="L188" t="str">
        <f>IF(Excel_Data_Analytics_Dataset!J188&gt;15000,"Excellent",IF(Excel_Data_Analytics_Dataset!J188&gt;=5000,"Good","Poor"))</f>
        <v>Poor</v>
      </c>
      <c r="M188">
        <f>IF(Table1[[#This Row],[Category]]="Electronics",Excel_Data_Analytics_Dataset!H188*5%,Excel_Data_Analytics_Dataset!H188*8%)</f>
        <v>1369.84</v>
      </c>
      <c r="N188">
        <f>SUM(H$2:H188)</f>
        <v>3041546</v>
      </c>
    </row>
    <row r="189" spans="1:14" x14ac:dyDescent="0.25">
      <c r="A189">
        <v>188</v>
      </c>
      <c r="B189" s="13">
        <v>45847</v>
      </c>
      <c r="C189" t="s">
        <v>37</v>
      </c>
      <c r="D189" t="s">
        <v>18</v>
      </c>
      <c r="E189" t="s">
        <v>19</v>
      </c>
      <c r="F189" t="s">
        <v>57</v>
      </c>
      <c r="G189" t="s">
        <v>23</v>
      </c>
      <c r="H189">
        <v>23457</v>
      </c>
      <c r="I189">
        <v>20867</v>
      </c>
      <c r="J189">
        <f t="shared" si="4"/>
        <v>2590</v>
      </c>
      <c r="K189" s="2">
        <f t="shared" si="5"/>
        <v>0.11041480155177559</v>
      </c>
      <c r="L189" t="str">
        <f>IF(Excel_Data_Analytics_Dataset!J189&gt;15000,"Excellent",IF(Excel_Data_Analytics_Dataset!J189&gt;=5000,"Good","Poor"))</f>
        <v>Poor</v>
      </c>
      <c r="M189">
        <f>IF(Table1[[#This Row],[Category]]="Electronics",Excel_Data_Analytics_Dataset!H189*5%,Excel_Data_Analytics_Dataset!H189*8%)</f>
        <v>1172.8500000000001</v>
      </c>
      <c r="N189">
        <f>SUM(H$2:H189)</f>
        <v>3065003</v>
      </c>
    </row>
    <row r="190" spans="1:14" x14ac:dyDescent="0.25">
      <c r="A190">
        <v>189</v>
      </c>
      <c r="B190" s="13">
        <v>45848</v>
      </c>
      <c r="C190" t="s">
        <v>17</v>
      </c>
      <c r="D190" t="s">
        <v>18</v>
      </c>
      <c r="E190" t="s">
        <v>19</v>
      </c>
      <c r="F190" t="s">
        <v>68</v>
      </c>
      <c r="G190" t="s">
        <v>13</v>
      </c>
      <c r="H190">
        <v>12542</v>
      </c>
      <c r="I190">
        <v>10524</v>
      </c>
      <c r="J190">
        <f t="shared" si="4"/>
        <v>2018</v>
      </c>
      <c r="K190" s="2">
        <f t="shared" si="5"/>
        <v>0.16089937808961888</v>
      </c>
      <c r="L190" t="str">
        <f>IF(Excel_Data_Analytics_Dataset!J190&gt;15000,"Excellent",IF(Excel_Data_Analytics_Dataset!J190&gt;=5000,"Good","Poor"))</f>
        <v>Poor</v>
      </c>
      <c r="M190">
        <f>IF(Table1[[#This Row],[Category]]="Electronics",Excel_Data_Analytics_Dataset!H190*5%,Excel_Data_Analytics_Dataset!H190*8%)</f>
        <v>627.1</v>
      </c>
      <c r="N190">
        <f>SUM(H$2:H190)</f>
        <v>3077545</v>
      </c>
    </row>
    <row r="191" spans="1:14" x14ac:dyDescent="0.25">
      <c r="A191">
        <v>190</v>
      </c>
      <c r="B191" s="13">
        <v>45849</v>
      </c>
      <c r="C191" t="s">
        <v>14</v>
      </c>
      <c r="D191" t="s">
        <v>18</v>
      </c>
      <c r="E191" t="s">
        <v>26</v>
      </c>
      <c r="F191" t="s">
        <v>63</v>
      </c>
      <c r="G191" t="s">
        <v>35</v>
      </c>
      <c r="H191">
        <v>11297</v>
      </c>
      <c r="I191">
        <v>9166</v>
      </c>
      <c r="J191">
        <f t="shared" si="4"/>
        <v>2131</v>
      </c>
      <c r="K191" s="2">
        <f t="shared" si="5"/>
        <v>0.18863415065946712</v>
      </c>
      <c r="L191" t="str">
        <f>IF(Excel_Data_Analytics_Dataset!J191&gt;15000,"Excellent",IF(Excel_Data_Analytics_Dataset!J191&gt;=5000,"Good","Poor"))</f>
        <v>Poor</v>
      </c>
      <c r="M191">
        <f>IF(Table1[[#This Row],[Category]]="Electronics",Excel_Data_Analytics_Dataset!H191*5%,Excel_Data_Analytics_Dataset!H191*8%)</f>
        <v>564.85</v>
      </c>
      <c r="N191">
        <f>SUM(H$2:H191)</f>
        <v>3088842</v>
      </c>
    </row>
    <row r="192" spans="1:14" x14ac:dyDescent="0.25">
      <c r="A192">
        <v>191</v>
      </c>
      <c r="B192" s="13">
        <v>45850</v>
      </c>
      <c r="C192" t="s">
        <v>9</v>
      </c>
      <c r="D192" t="s">
        <v>18</v>
      </c>
      <c r="E192" t="s">
        <v>26</v>
      </c>
      <c r="F192" t="s">
        <v>71</v>
      </c>
      <c r="G192" t="s">
        <v>33</v>
      </c>
      <c r="H192">
        <v>20988</v>
      </c>
      <c r="I192">
        <v>14469</v>
      </c>
      <c r="J192">
        <f t="shared" si="4"/>
        <v>6519</v>
      </c>
      <c r="K192" s="2">
        <f t="shared" si="5"/>
        <v>0.31060606060606061</v>
      </c>
      <c r="L192" t="str">
        <f>IF(Excel_Data_Analytics_Dataset!J192&gt;15000,"Excellent",IF(Excel_Data_Analytics_Dataset!J192&gt;=5000,"Good","Poor"))</f>
        <v>Good</v>
      </c>
      <c r="M192">
        <f>IF(Table1[[#This Row],[Category]]="Electronics",Excel_Data_Analytics_Dataset!H192*5%,Excel_Data_Analytics_Dataset!H192*8%)</f>
        <v>1049.4000000000001</v>
      </c>
      <c r="N192">
        <f>SUM(H$2:H192)</f>
        <v>3109830</v>
      </c>
    </row>
    <row r="193" spans="1:14" x14ac:dyDescent="0.25">
      <c r="A193">
        <v>192</v>
      </c>
      <c r="B193" s="13">
        <v>45851</v>
      </c>
      <c r="C193" t="s">
        <v>9</v>
      </c>
      <c r="D193" t="s">
        <v>18</v>
      </c>
      <c r="E193" t="s">
        <v>29</v>
      </c>
      <c r="F193" t="s">
        <v>77</v>
      </c>
      <c r="G193" t="s">
        <v>13</v>
      </c>
      <c r="H193">
        <v>22125</v>
      </c>
      <c r="I193">
        <v>18956</v>
      </c>
      <c r="J193">
        <f t="shared" si="4"/>
        <v>3169</v>
      </c>
      <c r="K193" s="2">
        <f t="shared" si="5"/>
        <v>0.14323163841807909</v>
      </c>
      <c r="L193" t="str">
        <f>IF(Excel_Data_Analytics_Dataset!J193&gt;15000,"Excellent",IF(Excel_Data_Analytics_Dataset!J193&gt;=5000,"Good","Poor"))</f>
        <v>Poor</v>
      </c>
      <c r="M193">
        <f>IF(Table1[[#This Row],[Category]]="Electronics",Excel_Data_Analytics_Dataset!H193*5%,Excel_Data_Analytics_Dataset!H193*8%)</f>
        <v>1106.25</v>
      </c>
      <c r="N193">
        <f>SUM(H$2:H193)</f>
        <v>3131955</v>
      </c>
    </row>
    <row r="194" spans="1:14" x14ac:dyDescent="0.25">
      <c r="A194">
        <v>193</v>
      </c>
      <c r="B194" s="13">
        <v>45852</v>
      </c>
      <c r="C194" t="s">
        <v>14</v>
      </c>
      <c r="D194" t="s">
        <v>18</v>
      </c>
      <c r="E194" t="s">
        <v>29</v>
      </c>
      <c r="F194" t="s">
        <v>54</v>
      </c>
      <c r="G194" t="s">
        <v>28</v>
      </c>
      <c r="H194">
        <v>24547</v>
      </c>
      <c r="I194">
        <v>22049</v>
      </c>
      <c r="J194">
        <f t="shared" ref="J194:J201" si="6">H194-I194</f>
        <v>2498</v>
      </c>
      <c r="K194" s="2">
        <f t="shared" ref="K194:K201" si="7">J194/H194</f>
        <v>0.10176396300973642</v>
      </c>
      <c r="L194" t="str">
        <f>IF(Excel_Data_Analytics_Dataset!J194&gt;15000,"Excellent",IF(Excel_Data_Analytics_Dataset!J194&gt;=5000,"Good","Poor"))</f>
        <v>Poor</v>
      </c>
      <c r="M194">
        <f>IF(Table1[[#This Row],[Category]]="Electronics",Excel_Data_Analytics_Dataset!H194*5%,Excel_Data_Analytics_Dataset!H194*8%)</f>
        <v>1227.3500000000001</v>
      </c>
      <c r="N194">
        <f>SUM(H$2:H194)</f>
        <v>3156502</v>
      </c>
    </row>
    <row r="195" spans="1:14" x14ac:dyDescent="0.25">
      <c r="A195">
        <v>194</v>
      </c>
      <c r="B195" s="13">
        <v>45853</v>
      </c>
      <c r="C195" t="s">
        <v>9</v>
      </c>
      <c r="D195" t="s">
        <v>18</v>
      </c>
      <c r="E195" t="s">
        <v>29</v>
      </c>
      <c r="F195" t="s">
        <v>44</v>
      </c>
      <c r="G195" t="s">
        <v>33</v>
      </c>
      <c r="H195">
        <v>24450</v>
      </c>
      <c r="I195">
        <v>15331</v>
      </c>
      <c r="J195">
        <f t="shared" si="6"/>
        <v>9119</v>
      </c>
      <c r="K195" s="2">
        <f t="shared" si="7"/>
        <v>0.37296523517382413</v>
      </c>
      <c r="L195" t="str">
        <f>IF(Excel_Data_Analytics_Dataset!J195&gt;15000,"Excellent",IF(Excel_Data_Analytics_Dataset!J195&gt;=5000,"Good","Poor"))</f>
        <v>Good</v>
      </c>
      <c r="M195">
        <f>IF(Table1[[#This Row],[Category]]="Electronics",Excel_Data_Analytics_Dataset!H195*5%,Excel_Data_Analytics_Dataset!H195*8%)</f>
        <v>1222.5</v>
      </c>
      <c r="N195">
        <f>SUM(H$2:H195)</f>
        <v>3180952</v>
      </c>
    </row>
    <row r="196" spans="1:14" x14ac:dyDescent="0.25">
      <c r="A196">
        <v>195</v>
      </c>
      <c r="B196" s="13">
        <v>45854</v>
      </c>
      <c r="C196" t="s">
        <v>14</v>
      </c>
      <c r="D196" t="s">
        <v>10</v>
      </c>
      <c r="E196" t="s">
        <v>11</v>
      </c>
      <c r="F196" t="s">
        <v>47</v>
      </c>
      <c r="G196" t="s">
        <v>28</v>
      </c>
      <c r="H196">
        <v>6284</v>
      </c>
      <c r="I196">
        <v>4993</v>
      </c>
      <c r="J196">
        <f t="shared" si="6"/>
        <v>1291</v>
      </c>
      <c r="K196" s="2">
        <f t="shared" si="7"/>
        <v>0.20544239338001274</v>
      </c>
      <c r="L196" t="str">
        <f>IF(Excel_Data_Analytics_Dataset!J196&gt;15000,"Excellent",IF(Excel_Data_Analytics_Dataset!J196&gt;=5000,"Good","Poor"))</f>
        <v>Poor</v>
      </c>
      <c r="M196">
        <f>IF(Table1[[#This Row],[Category]]="Electronics",Excel_Data_Analytics_Dataset!H196*5%,Excel_Data_Analytics_Dataset!H196*8%)</f>
        <v>502.72</v>
      </c>
      <c r="N196">
        <f>SUM(H$2:H196)</f>
        <v>3187236</v>
      </c>
    </row>
    <row r="197" spans="1:14" x14ac:dyDescent="0.25">
      <c r="A197">
        <v>196</v>
      </c>
      <c r="B197" s="13">
        <v>45855</v>
      </c>
      <c r="C197" t="s">
        <v>14</v>
      </c>
      <c r="D197" t="s">
        <v>18</v>
      </c>
      <c r="E197" t="s">
        <v>19</v>
      </c>
      <c r="F197" t="s">
        <v>49</v>
      </c>
      <c r="G197" t="s">
        <v>33</v>
      </c>
      <c r="H197">
        <v>12554</v>
      </c>
      <c r="I197">
        <v>7624</v>
      </c>
      <c r="J197">
        <f t="shared" si="6"/>
        <v>4930</v>
      </c>
      <c r="K197" s="2">
        <f t="shared" si="7"/>
        <v>0.39270352079018639</v>
      </c>
      <c r="L197" t="str">
        <f>IF(Excel_Data_Analytics_Dataset!J197&gt;15000,"Excellent",IF(Excel_Data_Analytics_Dataset!J197&gt;=5000,"Good","Poor"))</f>
        <v>Poor</v>
      </c>
      <c r="M197">
        <f>IF(Table1[[#This Row],[Category]]="Electronics",Excel_Data_Analytics_Dataset!H197*5%,Excel_Data_Analytics_Dataset!H197*8%)</f>
        <v>627.70000000000005</v>
      </c>
      <c r="N197">
        <f>SUM(H$2:H197)</f>
        <v>3199790</v>
      </c>
    </row>
    <row r="198" spans="1:14" x14ac:dyDescent="0.25">
      <c r="A198">
        <v>197</v>
      </c>
      <c r="B198" s="13">
        <v>45856</v>
      </c>
      <c r="C198" t="s">
        <v>9</v>
      </c>
      <c r="D198" t="s">
        <v>10</v>
      </c>
      <c r="E198" t="s">
        <v>42</v>
      </c>
      <c r="F198" t="s">
        <v>73</v>
      </c>
      <c r="G198" t="s">
        <v>35</v>
      </c>
      <c r="H198">
        <v>3970</v>
      </c>
      <c r="I198">
        <v>3382</v>
      </c>
      <c r="J198">
        <f t="shared" si="6"/>
        <v>588</v>
      </c>
      <c r="K198" s="2">
        <f t="shared" si="7"/>
        <v>0.14811083123425692</v>
      </c>
      <c r="L198" t="str">
        <f>IF(Excel_Data_Analytics_Dataset!J198&gt;15000,"Excellent",IF(Excel_Data_Analytics_Dataset!J198&gt;=5000,"Good","Poor"))</f>
        <v>Poor</v>
      </c>
      <c r="M198">
        <f>IF(Table1[[#This Row],[Category]]="Electronics",Excel_Data_Analytics_Dataset!H198*5%,Excel_Data_Analytics_Dataset!H198*8%)</f>
        <v>317.60000000000002</v>
      </c>
      <c r="N198">
        <f>SUM(H$2:H198)</f>
        <v>3203760</v>
      </c>
    </row>
    <row r="199" spans="1:14" x14ac:dyDescent="0.25">
      <c r="A199">
        <v>198</v>
      </c>
      <c r="B199" s="13">
        <v>45857</v>
      </c>
      <c r="C199" t="s">
        <v>17</v>
      </c>
      <c r="D199" t="s">
        <v>10</v>
      </c>
      <c r="E199" t="s">
        <v>42</v>
      </c>
      <c r="F199" t="s">
        <v>73</v>
      </c>
      <c r="G199" t="s">
        <v>35</v>
      </c>
      <c r="H199">
        <v>7069</v>
      </c>
      <c r="I199">
        <v>4510</v>
      </c>
      <c r="J199">
        <f t="shared" si="6"/>
        <v>2559</v>
      </c>
      <c r="K199" s="2">
        <f t="shared" si="7"/>
        <v>0.36200311217994058</v>
      </c>
      <c r="L199" t="str">
        <f>IF(Excel_Data_Analytics_Dataset!J199&gt;15000,"Excellent",IF(Excel_Data_Analytics_Dataset!J199&gt;=5000,"Good","Poor"))</f>
        <v>Poor</v>
      </c>
      <c r="M199">
        <f>IF(Table1[[#This Row],[Category]]="Electronics",Excel_Data_Analytics_Dataset!H199*5%,Excel_Data_Analytics_Dataset!H199*8%)</f>
        <v>565.52</v>
      </c>
      <c r="N199">
        <f>SUM(H$2:H199)</f>
        <v>3210829</v>
      </c>
    </row>
    <row r="200" spans="1:14" x14ac:dyDescent="0.25">
      <c r="A200">
        <v>199</v>
      </c>
      <c r="B200" s="13">
        <v>45858</v>
      </c>
      <c r="C200" t="s">
        <v>14</v>
      </c>
      <c r="D200" t="s">
        <v>18</v>
      </c>
      <c r="E200" t="s">
        <v>19</v>
      </c>
      <c r="F200" t="s">
        <v>30</v>
      </c>
      <c r="G200" t="s">
        <v>35</v>
      </c>
      <c r="H200">
        <v>17934</v>
      </c>
      <c r="I200">
        <v>14381</v>
      </c>
      <c r="J200">
        <f t="shared" si="6"/>
        <v>3553</v>
      </c>
      <c r="K200" s="2">
        <f t="shared" si="7"/>
        <v>0.19811531169844987</v>
      </c>
      <c r="L200" t="str">
        <f>IF(Excel_Data_Analytics_Dataset!J200&gt;15000,"Excellent",IF(Excel_Data_Analytics_Dataset!J200&gt;=5000,"Good","Poor"))</f>
        <v>Poor</v>
      </c>
      <c r="M200">
        <f>IF(Table1[[#This Row],[Category]]="Electronics",Excel_Data_Analytics_Dataset!H200*5%,Excel_Data_Analytics_Dataset!H200*8%)</f>
        <v>896.7</v>
      </c>
      <c r="N200">
        <f>SUM(H$2:H200)</f>
        <v>3228763</v>
      </c>
    </row>
    <row r="201" spans="1:14" x14ac:dyDescent="0.25">
      <c r="A201">
        <v>200</v>
      </c>
      <c r="B201" s="13">
        <v>45859</v>
      </c>
      <c r="C201" t="s">
        <v>37</v>
      </c>
      <c r="D201" t="s">
        <v>18</v>
      </c>
      <c r="E201" t="s">
        <v>29</v>
      </c>
      <c r="F201" t="s">
        <v>43</v>
      </c>
      <c r="G201" t="s">
        <v>35</v>
      </c>
      <c r="H201">
        <v>6437</v>
      </c>
      <c r="I201">
        <v>4292</v>
      </c>
      <c r="J201">
        <f t="shared" si="6"/>
        <v>2145</v>
      </c>
      <c r="K201" s="2">
        <f t="shared" si="7"/>
        <v>0.33322976541867327</v>
      </c>
      <c r="L201" t="str">
        <f>IF(Excel_Data_Analytics_Dataset!J201&gt;15000,"Excellent",IF(Excel_Data_Analytics_Dataset!J201&gt;=5000,"Good","Poor"))</f>
        <v>Poor</v>
      </c>
      <c r="M201">
        <f>IF(Table1[[#This Row],[Category]]="Electronics",Excel_Data_Analytics_Dataset!H201*5%,Excel_Data_Analytics_Dataset!H201*8%)</f>
        <v>321.85000000000002</v>
      </c>
      <c r="N201">
        <f>SUM(H$2:H201)</f>
        <v>3235200</v>
      </c>
    </row>
  </sheetData>
  <conditionalFormatting sqref="J2:J201">
    <cfRule type="cellIs" dxfId="3"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EEDC-142C-4B35-968B-F8FBFBE08EFE}">
  <dimension ref="A1:D6"/>
  <sheetViews>
    <sheetView workbookViewId="0">
      <selection activeCell="A2" sqref="A2:A6"/>
    </sheetView>
  </sheetViews>
  <sheetFormatPr defaultRowHeight="15" x14ac:dyDescent="0.25"/>
  <cols>
    <col min="3" max="3" width="13.28515625" customWidth="1"/>
  </cols>
  <sheetData>
    <row r="1" spans="1:4" x14ac:dyDescent="0.25">
      <c r="A1" s="1" t="s">
        <v>78</v>
      </c>
      <c r="B1" s="1" t="s">
        <v>79</v>
      </c>
      <c r="C1" t="s">
        <v>107</v>
      </c>
      <c r="D1" t="s">
        <v>106</v>
      </c>
    </row>
    <row r="2" spans="1:4" x14ac:dyDescent="0.25">
      <c r="A2" s="1" t="s">
        <v>28</v>
      </c>
      <c r="B2" s="1">
        <v>45000</v>
      </c>
      <c r="C2">
        <f>SUMIF(Excel_Data_Analytics_Dataset!G$2:G$201, A2, Excel_Data_Analytics_Dataset!H$2:H$201)</f>
        <v>750452</v>
      </c>
      <c r="D2">
        <f>_xlfn.RANK.EQ(C2,C$2:C$6)</f>
        <v>1</v>
      </c>
    </row>
    <row r="3" spans="1:4" x14ac:dyDescent="0.25">
      <c r="A3" s="1" t="s">
        <v>33</v>
      </c>
      <c r="B3" s="1">
        <v>42000</v>
      </c>
      <c r="C3">
        <f>SUMIF(Excel_Data_Analytics_Dataset!G$2:G$201, A3, Excel_Data_Analytics_Dataset!H$2:H$201)</f>
        <v>633574</v>
      </c>
      <c r="D3">
        <f t="shared" ref="D3:D6" si="0">_xlfn.RANK.EQ(C3,C$2:C$6)</f>
        <v>4</v>
      </c>
    </row>
    <row r="4" spans="1:4" x14ac:dyDescent="0.25">
      <c r="A4" s="1" t="s">
        <v>35</v>
      </c>
      <c r="B4" s="1">
        <v>40000</v>
      </c>
      <c r="C4">
        <f>SUMIF(Excel_Data_Analytics_Dataset!G$2:G$201, A4, Excel_Data_Analytics_Dataset!H$2:H$201)</f>
        <v>648534</v>
      </c>
      <c r="D4">
        <f t="shared" si="0"/>
        <v>3</v>
      </c>
    </row>
    <row r="5" spans="1:4" x14ac:dyDescent="0.25">
      <c r="A5" s="1" t="s">
        <v>13</v>
      </c>
      <c r="B5" s="1">
        <v>47000</v>
      </c>
      <c r="C5">
        <f>SUMIF(Excel_Data_Analytics_Dataset!G$2:G$201, A5, Excel_Data_Analytics_Dataset!H$2:H$201)</f>
        <v>509237</v>
      </c>
      <c r="D5">
        <f t="shared" si="0"/>
        <v>5</v>
      </c>
    </row>
    <row r="6" spans="1:4" x14ac:dyDescent="0.25">
      <c r="A6" s="1" t="s">
        <v>23</v>
      </c>
      <c r="B6" s="1">
        <v>43000</v>
      </c>
      <c r="C6">
        <f>SUMIF(Excel_Data_Analytics_Dataset!G$2:G$201, A6, Excel_Data_Analytics_Dataset!H$2:H$201)</f>
        <v>693403</v>
      </c>
      <c r="D6">
        <f t="shared" si="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ABF5-2927-4E70-B770-7389507964E7}">
  <dimension ref="A1:H287"/>
  <sheetViews>
    <sheetView topLeftCell="A112" workbookViewId="0">
      <selection activeCell="A16" sqref="A16"/>
    </sheetView>
  </sheetViews>
  <sheetFormatPr defaultRowHeight="15" x14ac:dyDescent="0.25"/>
  <cols>
    <col min="1" max="1" width="21.85546875" customWidth="1"/>
    <col min="2" max="2" width="12.5703125" bestFit="1" customWidth="1"/>
    <col min="3" max="3" width="18.5703125" customWidth="1"/>
  </cols>
  <sheetData>
    <row r="1" spans="1:4" s="3" customFormat="1" x14ac:dyDescent="0.25">
      <c r="A1" s="17" t="s">
        <v>366</v>
      </c>
      <c r="B1" s="17"/>
      <c r="C1" s="17"/>
      <c r="D1" s="17"/>
    </row>
    <row r="2" spans="1:4" x14ac:dyDescent="0.25">
      <c r="A2" s="18" t="s">
        <v>367</v>
      </c>
      <c r="B2" s="18"/>
      <c r="C2" s="18"/>
    </row>
    <row r="3" spans="1:4" x14ac:dyDescent="0.25">
      <c r="A3" s="13">
        <f>DATE(2025,1,2)</f>
        <v>45659</v>
      </c>
      <c r="B3" t="s">
        <v>368</v>
      </c>
    </row>
    <row r="4" spans="1:4" x14ac:dyDescent="0.25">
      <c r="A4" s="18" t="s">
        <v>369</v>
      </c>
      <c r="B4" s="18"/>
      <c r="C4" s="18"/>
    </row>
    <row r="5" spans="1:4" s="21" customFormat="1" x14ac:dyDescent="0.25">
      <c r="A5" s="21" t="s">
        <v>370</v>
      </c>
    </row>
    <row r="6" spans="1:4" x14ac:dyDescent="0.25">
      <c r="A6" s="18" t="s">
        <v>371</v>
      </c>
      <c r="B6" s="18"/>
      <c r="C6" s="18"/>
    </row>
    <row r="7" spans="1:4" x14ac:dyDescent="0.25">
      <c r="A7" t="str">
        <f>TRIM(Excel_Data_Analytics_Dataset!F8)</f>
        <v>Customer_14</v>
      </c>
      <c r="B7" t="str">
        <f ca="1">_xlfn.FORMULATEXT(A7)</f>
        <v>=TRIM(Excel_Data_Analytics_Dataset!F8)</v>
      </c>
    </row>
    <row r="8" spans="1:4" x14ac:dyDescent="0.25">
      <c r="A8" s="18" t="s">
        <v>372</v>
      </c>
      <c r="B8" s="18"/>
      <c r="C8" s="18"/>
    </row>
    <row r="9" spans="1:4" x14ac:dyDescent="0.25">
      <c r="A9" t="s">
        <v>373</v>
      </c>
    </row>
    <row r="12" spans="1:4" s="3" customFormat="1" x14ac:dyDescent="0.25">
      <c r="A12" s="19" t="s">
        <v>150</v>
      </c>
      <c r="B12" s="19"/>
      <c r="C12" s="19"/>
    </row>
    <row r="13" spans="1:4" x14ac:dyDescent="0.25">
      <c r="A13" s="20" t="s">
        <v>151</v>
      </c>
      <c r="B13" s="18"/>
      <c r="C13" s="18"/>
    </row>
    <row r="14" spans="1:4" x14ac:dyDescent="0.25">
      <c r="A14" t="s">
        <v>380</v>
      </c>
      <c r="B14" t="s">
        <v>381</v>
      </c>
    </row>
    <row r="15" spans="1:4" x14ac:dyDescent="0.25">
      <c r="A15" t="s">
        <v>152</v>
      </c>
      <c r="B15">
        <f>SUM(Excel_Data_Analytics_Dataset!H2:H201)</f>
        <v>3235200</v>
      </c>
    </row>
    <row r="16" spans="1:4" x14ac:dyDescent="0.25">
      <c r="A16" t="s">
        <v>153</v>
      </c>
      <c r="B16">
        <f>SUM(Excel_Data_Analytics_Dataset!I2:I201)</f>
        <v>2447134</v>
      </c>
    </row>
    <row r="17" spans="1:3" x14ac:dyDescent="0.25">
      <c r="A17" t="s">
        <v>154</v>
      </c>
      <c r="B17">
        <f>SUM(Excel_Data_Analytics_Dataset!J2:J201)</f>
        <v>788066</v>
      </c>
    </row>
    <row r="18" spans="1:3" x14ac:dyDescent="0.25">
      <c r="A18" t="s">
        <v>155</v>
      </c>
      <c r="B18">
        <f>COUNT(Excel_Data_Analytics_Dataset!A2:A201)</f>
        <v>200</v>
      </c>
    </row>
    <row r="19" spans="1:3" x14ac:dyDescent="0.25">
      <c r="A19" s="18" t="s">
        <v>84</v>
      </c>
      <c r="B19" s="18"/>
      <c r="C19" s="18"/>
    </row>
    <row r="20" spans="1:3" x14ac:dyDescent="0.25">
      <c r="A20" t="s">
        <v>88</v>
      </c>
      <c r="B20">
        <f>AVERAGE(B15/B18)</f>
        <v>16176</v>
      </c>
    </row>
    <row r="22" spans="1:3" s="3" customFormat="1" ht="18.75" x14ac:dyDescent="0.3">
      <c r="A22" s="16" t="s">
        <v>85</v>
      </c>
      <c r="B22" s="17"/>
      <c r="C22" s="17"/>
    </row>
    <row r="23" spans="1:3" x14ac:dyDescent="0.25">
      <c r="A23" s="18" t="s">
        <v>86</v>
      </c>
      <c r="B23" s="18"/>
      <c r="C23" s="18"/>
    </row>
    <row r="24" spans="1:3" x14ac:dyDescent="0.25">
      <c r="A24" t="s">
        <v>82</v>
      </c>
      <c r="B24">
        <f>COUNTIF(Excel_Data_Analytics_Dataset!C2:C201,"North")</f>
        <v>42</v>
      </c>
    </row>
    <row r="26" spans="1:3" x14ac:dyDescent="0.25">
      <c r="A26" s="18" t="s">
        <v>87</v>
      </c>
      <c r="B26" s="18"/>
      <c r="C26" s="18"/>
    </row>
    <row r="27" spans="1:3" x14ac:dyDescent="0.25">
      <c r="A27" t="s">
        <v>83</v>
      </c>
      <c r="B27">
        <f>COUNTIF(Excel_Data_Analytics_Dataset!D2:D201,"Electronics")</f>
        <v>96</v>
      </c>
    </row>
    <row r="28" spans="1:3" x14ac:dyDescent="0.25">
      <c r="A28" s="18" t="s">
        <v>89</v>
      </c>
      <c r="B28" s="18"/>
      <c r="C28" s="18"/>
    </row>
    <row r="29" spans="1:3" x14ac:dyDescent="0.25">
      <c r="A29" t="s">
        <v>90</v>
      </c>
      <c r="B29">
        <f>MAX(Excel_Data_Analytics_Dataset!H2:H201)</f>
        <v>29811</v>
      </c>
    </row>
    <row r="30" spans="1:3" x14ac:dyDescent="0.25">
      <c r="A30" t="s">
        <v>91</v>
      </c>
      <c r="B30">
        <f>MIN(Excel_Data_Analytics_Dataset!H2:H201)</f>
        <v>3003</v>
      </c>
    </row>
    <row r="31" spans="1:3" x14ac:dyDescent="0.25">
      <c r="A31" t="s">
        <v>92</v>
      </c>
      <c r="B31">
        <f>AVERAGE(Excel_Data_Analytics_Dataset!H2:H201)</f>
        <v>16176</v>
      </c>
    </row>
    <row r="32" spans="1:3" x14ac:dyDescent="0.25">
      <c r="A32" s="18" t="s">
        <v>93</v>
      </c>
      <c r="B32" s="18"/>
      <c r="C32" s="18"/>
    </row>
    <row r="34" spans="1:4" x14ac:dyDescent="0.25">
      <c r="A34" t="s">
        <v>94</v>
      </c>
    </row>
    <row r="35" spans="1:4" x14ac:dyDescent="0.25">
      <c r="A35" t="s">
        <v>95</v>
      </c>
      <c r="C35" t="str">
        <f>IF(Excel_Data_Analytics_Dataset!J3&gt;15000,"Excellent",IF(Excel_Data_Analytics_Dataset!J2&gt;=5000,"Good","Poor"))</f>
        <v>Poor</v>
      </c>
    </row>
    <row r="37" spans="1:4" s="3" customFormat="1" ht="18.75" x14ac:dyDescent="0.3">
      <c r="A37" s="16" t="s">
        <v>97</v>
      </c>
      <c r="B37" s="17"/>
      <c r="C37" s="17"/>
    </row>
    <row r="39" spans="1:4" x14ac:dyDescent="0.25">
      <c r="A39" s="18" t="s">
        <v>98</v>
      </c>
      <c r="B39" s="18"/>
      <c r="C39" s="18"/>
    </row>
    <row r="40" spans="1:4" x14ac:dyDescent="0.25">
      <c r="A40" t="s">
        <v>99</v>
      </c>
      <c r="B40">
        <f>VLOOKUP("Aisha",' Employee_Salary'!A2:B6,2,TRUE)</f>
        <v>45000</v>
      </c>
      <c r="C40" t="str">
        <f ca="1">_xlfn.FORMULATEXT(B40)</f>
        <v>=VLOOKUP("Aisha",' Employee_Salary'!A2:B6,2,TRUE)</v>
      </c>
    </row>
    <row r="41" spans="1:4" x14ac:dyDescent="0.25">
      <c r="A41" s="18" t="s">
        <v>100</v>
      </c>
      <c r="B41" s="18"/>
      <c r="C41" s="18"/>
    </row>
    <row r="42" spans="1:4" x14ac:dyDescent="0.25">
      <c r="A42" t="s">
        <v>101</v>
      </c>
      <c r="B42">
        <f>' Employee_Salary'!B2/Excel_Data_Analytics_Dataset!H20</f>
        <v>5.5032407973584441</v>
      </c>
      <c r="C42" t="str">
        <f ca="1">_xlfn.FORMULATEXT(B42)</f>
        <v>=' Employee_Salary'!B2/Excel_Data_Analytics_Dataset!H20</v>
      </c>
    </row>
    <row r="43" spans="1:4" x14ac:dyDescent="0.25">
      <c r="A43" s="18" t="s">
        <v>102</v>
      </c>
      <c r="B43" s="18"/>
      <c r="C43" s="18"/>
      <c r="D43" s="18"/>
    </row>
    <row r="44" spans="1:4" x14ac:dyDescent="0.25">
      <c r="A44" t="s">
        <v>103</v>
      </c>
      <c r="C44">
        <f>IF(Excel_Data_Analytics_Dataset!D2:D201="Electronics",Excel_Data_Analytics_Dataset!H2*5%,Excel_Data_Analytics_Dataset!H2*8%)</f>
        <v>290.55</v>
      </c>
    </row>
    <row r="45" spans="1:4" x14ac:dyDescent="0.25">
      <c r="A45" s="18" t="s">
        <v>105</v>
      </c>
      <c r="B45" s="18"/>
      <c r="C45" s="18"/>
      <c r="D45" s="18"/>
    </row>
    <row r="47" spans="1:4" s="3" customFormat="1" ht="21" x14ac:dyDescent="0.35">
      <c r="A47" s="22" t="s">
        <v>108</v>
      </c>
      <c r="B47" s="17"/>
      <c r="C47" s="17"/>
      <c r="D47" s="17"/>
    </row>
    <row r="49" spans="1:8" x14ac:dyDescent="0.25">
      <c r="A49" s="23" t="s">
        <v>109</v>
      </c>
      <c r="B49" s="23"/>
      <c r="C49" s="23"/>
      <c r="D49" s="23"/>
    </row>
    <row r="50" spans="1:8" x14ac:dyDescent="0.25">
      <c r="A50" t="s">
        <v>110</v>
      </c>
      <c r="B50" t="s">
        <v>374</v>
      </c>
    </row>
    <row r="51" spans="1:8" x14ac:dyDescent="0.25">
      <c r="A51" s="18" t="s">
        <v>112</v>
      </c>
      <c r="B51" s="18"/>
      <c r="C51" s="18"/>
    </row>
    <row r="52" spans="1:8" x14ac:dyDescent="0.25">
      <c r="A52" t="s">
        <v>113</v>
      </c>
      <c r="C52">
        <f>COUNTA(_xlfn.UNIQUE(Table1[CustomerName]))</f>
        <v>50</v>
      </c>
      <c r="D52" t="str">
        <f ca="1">_xlfn.FORMULATEXT(C52)</f>
        <v>=COUNTA(UNIQUE(Table1[CustomerName]))</v>
      </c>
    </row>
    <row r="53" spans="1:8" x14ac:dyDescent="0.25">
      <c r="A53" s="18" t="s">
        <v>114</v>
      </c>
      <c r="B53" s="18"/>
      <c r="C53" s="18"/>
    </row>
    <row r="54" spans="1:8" x14ac:dyDescent="0.25">
      <c r="A54">
        <v>1</v>
      </c>
      <c r="B54">
        <f>LARGE(Excel_Data_Analytics_Dataset!H2:H201,1)</f>
        <v>29811</v>
      </c>
      <c r="C54" t="str">
        <f ca="1">_xlfn.FORMULATEXT(B54)</f>
        <v>=LARGE(Excel_Data_Analytics_Dataset!H2:H201,1)</v>
      </c>
      <c r="H54" s="4" t="s">
        <v>124</v>
      </c>
    </row>
    <row r="55" spans="1:8" x14ac:dyDescent="0.25">
      <c r="A55">
        <v>2</v>
      </c>
      <c r="B55">
        <f>LARGE(Excel_Data_Analytics_Dataset!H2:H201,2)</f>
        <v>29735</v>
      </c>
      <c r="C55" t="str">
        <f ca="1">_xlfn.FORMULATEXT(B55)</f>
        <v>=LARGE(Excel_Data_Analytics_Dataset!H2:H201,2)</v>
      </c>
    </row>
    <row r="56" spans="1:8" x14ac:dyDescent="0.25">
      <c r="A56">
        <v>3</v>
      </c>
      <c r="B56">
        <f>LARGE(Excel_Data_Analytics_Dataset!H2:H201,3)</f>
        <v>29094</v>
      </c>
      <c r="C56" t="str">
        <f ca="1">_xlfn.FORMULATEXT(B56)</f>
        <v>=LARGE(Excel_Data_Analytics_Dataset!H2:H201,3)</v>
      </c>
    </row>
    <row r="57" spans="1:8" x14ac:dyDescent="0.25">
      <c r="A57" s="18" t="s">
        <v>115</v>
      </c>
      <c r="B57" s="18"/>
      <c r="C57" s="18"/>
    </row>
    <row r="58" spans="1:8" x14ac:dyDescent="0.25">
      <c r="A58" t="s">
        <v>116</v>
      </c>
      <c r="B58">
        <f>SMALL(Excel_Data_Analytics_Dataset!H2:H201,1)</f>
        <v>3003</v>
      </c>
      <c r="C58" t="str">
        <f ca="1">_xlfn.FORMULATEXT(B58)</f>
        <v>=SMALL(Excel_Data_Analytics_Dataset!H2:H201,1)</v>
      </c>
      <c r="G58" s="4" t="s">
        <v>125</v>
      </c>
    </row>
    <row r="59" spans="1:8" x14ac:dyDescent="0.25">
      <c r="A59" t="s">
        <v>117</v>
      </c>
      <c r="B59">
        <f>SMALL(Excel_Data_Analytics_Dataset!H2:H201,2)</f>
        <v>3008</v>
      </c>
      <c r="C59" t="str">
        <f ca="1">_xlfn.FORMULATEXT(B59)</f>
        <v>=SMALL(Excel_Data_Analytics_Dataset!H2:H201,2)</v>
      </c>
    </row>
    <row r="60" spans="1:8" x14ac:dyDescent="0.25">
      <c r="A60" s="18" t="s">
        <v>118</v>
      </c>
      <c r="B60" s="18"/>
      <c r="C60" s="18"/>
    </row>
    <row r="61" spans="1:8" x14ac:dyDescent="0.25">
      <c r="A61" t="s">
        <v>119</v>
      </c>
      <c r="B61">
        <f>SUMIFS(Excel_Data_Analytics_Dataset!H2:H201,Excel_Data_Analytics_Dataset!D2:D201,"Electronics",Excel_Data_Analytics_Dataset!C2:C201,"North")</f>
        <v>344005</v>
      </c>
      <c r="C61" t="str">
        <f ca="1">_xlfn.FORMULATEXT(B61)</f>
        <v>=SUMIFS(Excel_Data_Analytics_Dataset!H2:H201,Excel_Data_Analytics_Dataset!D2:D201,"Electronics",Excel_Data_Analytics_Dataset!C2:C201,"North")</v>
      </c>
    </row>
    <row r="62" spans="1:8" x14ac:dyDescent="0.25">
      <c r="A62" t="s">
        <v>120</v>
      </c>
      <c r="B62">
        <f>SUMIFS(Excel_Data_Analytics_Dataset!H2:H201,Excel_Data_Analytics_Dataset!D2:D201,"Furniture",Excel_Data_Analytics_Dataset!C2:C201,"South")</f>
        <v>522975</v>
      </c>
      <c r="C62" t="str">
        <f ca="1">_xlfn.FORMULATEXT(B62)</f>
        <v>=SUMIFS(Excel_Data_Analytics_Dataset!H2:H201,Excel_Data_Analytics_Dataset!D2:D201,"Furniture",Excel_Data_Analytics_Dataset!C2:C201,"South")</v>
      </c>
    </row>
    <row r="63" spans="1:8" x14ac:dyDescent="0.25">
      <c r="A63" t="s">
        <v>121</v>
      </c>
      <c r="B63">
        <f>SUMIFS(Excel_Data_Analytics_Dataset!H2:H201,Excel_Data_Analytics_Dataset!G2:G201,"Sneha")</f>
        <v>509237</v>
      </c>
      <c r="C63" t="str">
        <f ca="1">_xlfn.FORMULATEXT(B63)</f>
        <v>=SUMIFS(Excel_Data_Analytics_Dataset!H2:H201,Excel_Data_Analytics_Dataset!G2:G201,"Sneha")</v>
      </c>
    </row>
    <row r="65" spans="1:8" s="3" customFormat="1" ht="18.75" x14ac:dyDescent="0.3">
      <c r="A65" s="16" t="s">
        <v>122</v>
      </c>
      <c r="B65" s="17"/>
      <c r="C65" s="17"/>
    </row>
    <row r="67" spans="1:8" x14ac:dyDescent="0.25">
      <c r="A67" s="18" t="s">
        <v>123</v>
      </c>
      <c r="B67" s="18"/>
      <c r="C67" s="18"/>
    </row>
    <row r="68" spans="1:8" x14ac:dyDescent="0.25">
      <c r="A68" s="4" t="s">
        <v>126</v>
      </c>
    </row>
    <row r="69" spans="1:8" x14ac:dyDescent="0.25">
      <c r="A69" s="18" t="s">
        <v>127</v>
      </c>
      <c r="B69" s="18"/>
      <c r="C69" s="18"/>
    </row>
    <row r="70" spans="1:8" x14ac:dyDescent="0.25">
      <c r="A70" t="s">
        <v>128</v>
      </c>
      <c r="B70" t="s">
        <v>129</v>
      </c>
      <c r="C70" t="s">
        <v>130</v>
      </c>
      <c r="D70" t="s">
        <v>106</v>
      </c>
    </row>
    <row r="71" spans="1:8" x14ac:dyDescent="0.25">
      <c r="B71" s="5" t="s">
        <v>28</v>
      </c>
      <c r="C71" s="6">
        <f>SUMIFS(Excel_Data_Analytics_Dataset!H2:H201,Excel_Data_Analytics_Dataset!G2:G201,"Aisha")</f>
        <v>750452</v>
      </c>
      <c r="D71" s="6">
        <f>_xlfn.RANK.EQ(Table2[[#This Row],[sales]],Table2[sales])</f>
        <v>1</v>
      </c>
      <c r="H71" t="s">
        <v>131</v>
      </c>
    </row>
    <row r="72" spans="1:8" x14ac:dyDescent="0.25">
      <c r="B72" s="1" t="s">
        <v>33</v>
      </c>
      <c r="C72">
        <f>SUMIFS(Excel_Data_Analytics_Dataset!H2:H201,Excel_Data_Analytics_Dataset!G2:G201,"Rahul")</f>
        <v>633574</v>
      </c>
      <c r="D72">
        <f>_xlfn.RANK.EQ(Table2[[#This Row],[sales]],Table2[sales])</f>
        <v>4</v>
      </c>
      <c r="H72" t="s">
        <v>136</v>
      </c>
    </row>
    <row r="73" spans="1:8" x14ac:dyDescent="0.25">
      <c r="B73" s="1" t="s">
        <v>35</v>
      </c>
      <c r="C73">
        <f>SUMIFS(Excel_Data_Analytics_Dataset!H2:H201,Excel_Data_Analytics_Dataset!G2:G201,"Nikhil")</f>
        <v>648534</v>
      </c>
      <c r="D73">
        <f>_xlfn.RANK.EQ(Table2[[#This Row],[sales]],Table2[sales])</f>
        <v>3</v>
      </c>
    </row>
    <row r="74" spans="1:8" x14ac:dyDescent="0.25">
      <c r="B74" s="1" t="s">
        <v>13</v>
      </c>
      <c r="C74">
        <f>SUMIFS(Excel_Data_Analytics_Dataset!H2:H201,Excel_Data_Analytics_Dataset!G2:G201,"Sneha")</f>
        <v>509237</v>
      </c>
      <c r="D74">
        <f>_xlfn.RANK.EQ(Table2[[#This Row],[sales]],Table2[sales])</f>
        <v>5</v>
      </c>
    </row>
    <row r="75" spans="1:8" x14ac:dyDescent="0.25">
      <c r="B75" s="1" t="s">
        <v>23</v>
      </c>
      <c r="C75">
        <f>SUMIFS(Excel_Data_Analytics_Dataset!H2:H201,Excel_Data_Analytics_Dataset!G2:G201,"Farhan")</f>
        <v>693403</v>
      </c>
      <c r="D75">
        <f>_xlfn.RANK.EQ(Table2[[#This Row],[sales]],Table2[sales])</f>
        <v>2</v>
      </c>
    </row>
    <row r="77" spans="1:8" x14ac:dyDescent="0.25">
      <c r="A77" s="18" t="s">
        <v>132</v>
      </c>
      <c r="B77" s="18"/>
      <c r="C77" s="18"/>
    </row>
    <row r="79" spans="1:8" x14ac:dyDescent="0.25">
      <c r="B79" t="s">
        <v>4</v>
      </c>
      <c r="C79" t="s">
        <v>133</v>
      </c>
      <c r="D79" t="s">
        <v>106</v>
      </c>
    </row>
    <row r="80" spans="1:8" x14ac:dyDescent="0.25">
      <c r="B80" s="8" t="s">
        <v>15</v>
      </c>
      <c r="C80" s="8">
        <f>SUMIFS(Excel_Data_Analytics_Dataset!H2:H201,Excel_Data_Analytics_Dataset!E2:E201,"Desk")</f>
        <v>492768</v>
      </c>
      <c r="D80" s="8">
        <f>_xlfn.RANK.EQ(Table3[[#This Row],[Revenue]],Table3[Revenue])</f>
        <v>1</v>
      </c>
      <c r="G80" t="s">
        <v>135</v>
      </c>
    </row>
    <row r="81" spans="1:4" x14ac:dyDescent="0.25">
      <c r="B81" s="7" t="s">
        <v>26</v>
      </c>
      <c r="C81" s="7">
        <f>SUMIFS(Excel_Data_Analytics_Dataset!H2:H201,Excel_Data_Analytics_Dataset!E2:E201,"Laptop")</f>
        <v>438222</v>
      </c>
      <c r="D81" s="7">
        <f>_xlfn.RANK.EQ(Table3[[#This Row],[Revenue]],Table3[Revenue])</f>
        <v>2</v>
      </c>
    </row>
    <row r="82" spans="1:4" x14ac:dyDescent="0.25">
      <c r="B82" s="7" t="s">
        <v>134</v>
      </c>
      <c r="C82">
        <f>SUMIFS(Excel_Data_Analytics_Dataset!H2:H201,Excel_Data_Analytics_Dataset!E2:E201,"Mobile")</f>
        <v>381242</v>
      </c>
      <c r="D82" s="7">
        <f>_xlfn.RANK.EQ(Table3[[#This Row],[Revenue]],Table3[Revenue])</f>
        <v>3</v>
      </c>
    </row>
    <row r="83" spans="1:4" x14ac:dyDescent="0.25">
      <c r="B83" s="7" t="s">
        <v>21</v>
      </c>
      <c r="C83" s="7">
        <f>SUMIFS(Excel_Data_Analytics_Dataset!H2:H201,Excel_Data_Analytics_Dataset!E2:E201,"Chair")</f>
        <v>308621</v>
      </c>
      <c r="D83" s="7">
        <f>_xlfn.RANK.EQ(Table3[[#This Row],[Revenue]],Table3[Revenue])</f>
        <v>4</v>
      </c>
    </row>
    <row r="85" spans="1:4" x14ac:dyDescent="0.25">
      <c r="A85" s="18" t="s">
        <v>137</v>
      </c>
      <c r="B85" s="18"/>
      <c r="C85" s="18"/>
    </row>
    <row r="86" spans="1:4" x14ac:dyDescent="0.25">
      <c r="A86" s="9" t="s">
        <v>138</v>
      </c>
      <c r="B86" t="s">
        <v>140</v>
      </c>
    </row>
    <row r="87" spans="1:4" x14ac:dyDescent="0.25">
      <c r="A87" s="10" t="s">
        <v>305</v>
      </c>
      <c r="B87">
        <v>3003</v>
      </c>
      <c r="D87" t="s">
        <v>141</v>
      </c>
    </row>
    <row r="88" spans="1:4" x14ac:dyDescent="0.25">
      <c r="A88" s="10" t="s">
        <v>248</v>
      </c>
      <c r="B88">
        <v>3008</v>
      </c>
    </row>
    <row r="89" spans="1:4" x14ac:dyDescent="0.25">
      <c r="A89" s="10" t="s">
        <v>159</v>
      </c>
      <c r="B89">
        <v>3254</v>
      </c>
    </row>
    <row r="90" spans="1:4" x14ac:dyDescent="0.25">
      <c r="A90" s="10" t="s">
        <v>266</v>
      </c>
      <c r="B90">
        <v>3614</v>
      </c>
    </row>
    <row r="91" spans="1:4" x14ac:dyDescent="0.25">
      <c r="A91" s="10" t="s">
        <v>300</v>
      </c>
      <c r="B91">
        <v>3743</v>
      </c>
    </row>
    <row r="92" spans="1:4" x14ac:dyDescent="0.25">
      <c r="A92" s="10" t="s">
        <v>352</v>
      </c>
      <c r="B92">
        <v>3970</v>
      </c>
    </row>
    <row r="93" spans="1:4" x14ac:dyDescent="0.25">
      <c r="A93" s="10" t="s">
        <v>224</v>
      </c>
      <c r="B93">
        <v>3988</v>
      </c>
    </row>
    <row r="94" spans="1:4" x14ac:dyDescent="0.25">
      <c r="A94" s="10" t="s">
        <v>271</v>
      </c>
      <c r="B94">
        <v>4181</v>
      </c>
    </row>
    <row r="95" spans="1:4" x14ac:dyDescent="0.25">
      <c r="A95" s="10" t="s">
        <v>195</v>
      </c>
      <c r="B95">
        <v>4280</v>
      </c>
    </row>
    <row r="96" spans="1:4" x14ac:dyDescent="0.25">
      <c r="A96" s="10" t="s">
        <v>280</v>
      </c>
      <c r="B96">
        <v>4689</v>
      </c>
    </row>
    <row r="97" spans="1:2" x14ac:dyDescent="0.25">
      <c r="A97" s="10" t="s">
        <v>309</v>
      </c>
      <c r="B97">
        <v>4693</v>
      </c>
    </row>
    <row r="98" spans="1:2" x14ac:dyDescent="0.25">
      <c r="A98" s="10" t="s">
        <v>182</v>
      </c>
      <c r="B98">
        <v>4786</v>
      </c>
    </row>
    <row r="99" spans="1:2" x14ac:dyDescent="0.25">
      <c r="A99" s="10" t="s">
        <v>327</v>
      </c>
      <c r="B99">
        <v>4896</v>
      </c>
    </row>
    <row r="100" spans="1:2" x14ac:dyDescent="0.25">
      <c r="A100" s="10" t="s">
        <v>202</v>
      </c>
      <c r="B100">
        <v>4910</v>
      </c>
    </row>
    <row r="101" spans="1:2" x14ac:dyDescent="0.25">
      <c r="A101" s="10" t="s">
        <v>163</v>
      </c>
      <c r="B101">
        <v>4964</v>
      </c>
    </row>
    <row r="102" spans="1:2" x14ac:dyDescent="0.25">
      <c r="A102" s="10" t="s">
        <v>247</v>
      </c>
      <c r="B102">
        <v>5006</v>
      </c>
    </row>
    <row r="103" spans="1:2" x14ac:dyDescent="0.25">
      <c r="A103" s="10" t="s">
        <v>218</v>
      </c>
      <c r="B103">
        <v>5069</v>
      </c>
    </row>
    <row r="104" spans="1:2" x14ac:dyDescent="0.25">
      <c r="A104" s="10" t="s">
        <v>231</v>
      </c>
      <c r="B104">
        <v>5148</v>
      </c>
    </row>
    <row r="105" spans="1:2" x14ac:dyDescent="0.25">
      <c r="A105" s="10" t="s">
        <v>192</v>
      </c>
      <c r="B105">
        <v>5269</v>
      </c>
    </row>
    <row r="106" spans="1:2" x14ac:dyDescent="0.25">
      <c r="A106" s="10" t="s">
        <v>273</v>
      </c>
      <c r="B106">
        <v>5296</v>
      </c>
    </row>
    <row r="107" spans="1:2" x14ac:dyDescent="0.25">
      <c r="A107" s="10" t="s">
        <v>256</v>
      </c>
      <c r="B107">
        <v>5348</v>
      </c>
    </row>
    <row r="108" spans="1:2" x14ac:dyDescent="0.25">
      <c r="A108" s="10" t="s">
        <v>156</v>
      </c>
      <c r="B108">
        <v>5811</v>
      </c>
    </row>
    <row r="109" spans="1:2" x14ac:dyDescent="0.25">
      <c r="A109" s="10" t="s">
        <v>232</v>
      </c>
      <c r="B109">
        <v>5919</v>
      </c>
    </row>
    <row r="110" spans="1:2" x14ac:dyDescent="0.25">
      <c r="A110" s="10" t="s">
        <v>206</v>
      </c>
      <c r="B110">
        <v>5943</v>
      </c>
    </row>
    <row r="111" spans="1:2" x14ac:dyDescent="0.25">
      <c r="A111" s="10" t="s">
        <v>350</v>
      </c>
      <c r="B111">
        <v>6284</v>
      </c>
    </row>
    <row r="112" spans="1:2" x14ac:dyDescent="0.25">
      <c r="A112" s="10" t="s">
        <v>229</v>
      </c>
      <c r="B112">
        <v>6369</v>
      </c>
    </row>
    <row r="113" spans="1:2" x14ac:dyDescent="0.25">
      <c r="A113" s="10" t="s">
        <v>355</v>
      </c>
      <c r="B113">
        <v>6437</v>
      </c>
    </row>
    <row r="114" spans="1:2" x14ac:dyDescent="0.25">
      <c r="A114" s="10" t="s">
        <v>238</v>
      </c>
      <c r="B114">
        <v>6512</v>
      </c>
    </row>
    <row r="115" spans="1:2" x14ac:dyDescent="0.25">
      <c r="A115" s="10" t="s">
        <v>170</v>
      </c>
      <c r="B115">
        <v>6822</v>
      </c>
    </row>
    <row r="116" spans="1:2" x14ac:dyDescent="0.25">
      <c r="A116" s="10" t="s">
        <v>169</v>
      </c>
      <c r="B116">
        <v>6994</v>
      </c>
    </row>
    <row r="117" spans="1:2" x14ac:dyDescent="0.25">
      <c r="A117" s="10" t="s">
        <v>353</v>
      </c>
      <c r="B117">
        <v>7069</v>
      </c>
    </row>
    <row r="118" spans="1:2" x14ac:dyDescent="0.25">
      <c r="A118" s="10" t="s">
        <v>334</v>
      </c>
      <c r="B118">
        <v>7183</v>
      </c>
    </row>
    <row r="119" spans="1:2" x14ac:dyDescent="0.25">
      <c r="A119" s="10" t="s">
        <v>293</v>
      </c>
      <c r="B119">
        <v>7509</v>
      </c>
    </row>
    <row r="120" spans="1:2" x14ac:dyDescent="0.25">
      <c r="A120" s="10" t="s">
        <v>321</v>
      </c>
      <c r="B120">
        <v>7741</v>
      </c>
    </row>
    <row r="121" spans="1:2" x14ac:dyDescent="0.25">
      <c r="A121" s="10" t="s">
        <v>281</v>
      </c>
      <c r="B121">
        <v>7805</v>
      </c>
    </row>
    <row r="122" spans="1:2" x14ac:dyDescent="0.25">
      <c r="A122" s="10" t="s">
        <v>269</v>
      </c>
      <c r="B122">
        <v>7848</v>
      </c>
    </row>
    <row r="123" spans="1:2" x14ac:dyDescent="0.25">
      <c r="A123" s="10" t="s">
        <v>295</v>
      </c>
      <c r="B123">
        <v>7967</v>
      </c>
    </row>
    <row r="124" spans="1:2" x14ac:dyDescent="0.25">
      <c r="A124" s="10" t="s">
        <v>158</v>
      </c>
      <c r="B124">
        <v>7987</v>
      </c>
    </row>
    <row r="125" spans="1:2" x14ac:dyDescent="0.25">
      <c r="A125" s="10" t="s">
        <v>174</v>
      </c>
      <c r="B125">
        <v>8177</v>
      </c>
    </row>
    <row r="126" spans="1:2" x14ac:dyDescent="0.25">
      <c r="A126" s="10" t="s">
        <v>272</v>
      </c>
      <c r="B126">
        <v>8389</v>
      </c>
    </row>
    <row r="127" spans="1:2" x14ac:dyDescent="0.25">
      <c r="A127" s="10" t="s">
        <v>308</v>
      </c>
      <c r="B127">
        <v>8413</v>
      </c>
    </row>
    <row r="128" spans="1:2" x14ac:dyDescent="0.25">
      <c r="A128" s="10" t="s">
        <v>318</v>
      </c>
      <c r="B128">
        <v>8789</v>
      </c>
    </row>
    <row r="129" spans="1:2" x14ac:dyDescent="0.25">
      <c r="A129" s="10" t="s">
        <v>260</v>
      </c>
      <c r="B129">
        <v>8814</v>
      </c>
    </row>
    <row r="130" spans="1:2" x14ac:dyDescent="0.25">
      <c r="A130" s="10" t="s">
        <v>200</v>
      </c>
      <c r="B130">
        <v>9025</v>
      </c>
    </row>
    <row r="131" spans="1:2" x14ac:dyDescent="0.25">
      <c r="A131" s="10" t="s">
        <v>225</v>
      </c>
      <c r="B131">
        <v>9205</v>
      </c>
    </row>
    <row r="132" spans="1:2" x14ac:dyDescent="0.25">
      <c r="A132" s="10" t="s">
        <v>167</v>
      </c>
      <c r="B132">
        <v>9233</v>
      </c>
    </row>
    <row r="133" spans="1:2" x14ac:dyDescent="0.25">
      <c r="A133" s="10" t="s">
        <v>323</v>
      </c>
      <c r="B133">
        <v>9260</v>
      </c>
    </row>
    <row r="134" spans="1:2" x14ac:dyDescent="0.25">
      <c r="A134" s="10" t="s">
        <v>296</v>
      </c>
      <c r="B134">
        <v>9266</v>
      </c>
    </row>
    <row r="135" spans="1:2" x14ac:dyDescent="0.25">
      <c r="A135" s="10" t="s">
        <v>335</v>
      </c>
      <c r="B135">
        <v>9341</v>
      </c>
    </row>
    <row r="136" spans="1:2" x14ac:dyDescent="0.25">
      <c r="A136" s="10" t="s">
        <v>325</v>
      </c>
      <c r="B136">
        <v>9672</v>
      </c>
    </row>
    <row r="137" spans="1:2" x14ac:dyDescent="0.25">
      <c r="A137" s="10" t="s">
        <v>316</v>
      </c>
      <c r="B137">
        <v>10106</v>
      </c>
    </row>
    <row r="138" spans="1:2" x14ac:dyDescent="0.25">
      <c r="A138" s="10" t="s">
        <v>188</v>
      </c>
      <c r="B138">
        <v>10384</v>
      </c>
    </row>
    <row r="139" spans="1:2" x14ac:dyDescent="0.25">
      <c r="A139" s="10" t="s">
        <v>341</v>
      </c>
      <c r="B139">
        <v>10389</v>
      </c>
    </row>
    <row r="140" spans="1:2" x14ac:dyDescent="0.25">
      <c r="A140" s="10" t="s">
        <v>268</v>
      </c>
      <c r="B140">
        <v>10537</v>
      </c>
    </row>
    <row r="141" spans="1:2" x14ac:dyDescent="0.25">
      <c r="A141" s="10" t="s">
        <v>331</v>
      </c>
      <c r="B141">
        <v>10981</v>
      </c>
    </row>
    <row r="142" spans="1:2" x14ac:dyDescent="0.25">
      <c r="A142" s="10" t="s">
        <v>187</v>
      </c>
      <c r="B142">
        <v>11264</v>
      </c>
    </row>
    <row r="143" spans="1:2" x14ac:dyDescent="0.25">
      <c r="A143" s="10" t="s">
        <v>345</v>
      </c>
      <c r="B143">
        <v>11297</v>
      </c>
    </row>
    <row r="144" spans="1:2" x14ac:dyDescent="0.25">
      <c r="A144" s="10" t="s">
        <v>262</v>
      </c>
      <c r="B144">
        <v>11682</v>
      </c>
    </row>
    <row r="145" spans="1:2" x14ac:dyDescent="0.25">
      <c r="A145" s="10" t="s">
        <v>332</v>
      </c>
      <c r="B145">
        <v>11754</v>
      </c>
    </row>
    <row r="146" spans="1:2" x14ac:dyDescent="0.25">
      <c r="A146" s="10" t="s">
        <v>287</v>
      </c>
      <c r="B146">
        <v>11825</v>
      </c>
    </row>
    <row r="147" spans="1:2" x14ac:dyDescent="0.25">
      <c r="A147" s="10" t="s">
        <v>207</v>
      </c>
      <c r="B147">
        <v>12216</v>
      </c>
    </row>
    <row r="148" spans="1:2" x14ac:dyDescent="0.25">
      <c r="A148" s="10" t="s">
        <v>264</v>
      </c>
      <c r="B148">
        <v>12219</v>
      </c>
    </row>
    <row r="149" spans="1:2" x14ac:dyDescent="0.25">
      <c r="A149" s="10" t="s">
        <v>304</v>
      </c>
      <c r="B149">
        <v>12233</v>
      </c>
    </row>
    <row r="150" spans="1:2" x14ac:dyDescent="0.25">
      <c r="A150" s="10" t="s">
        <v>234</v>
      </c>
      <c r="B150">
        <v>12268</v>
      </c>
    </row>
    <row r="151" spans="1:2" x14ac:dyDescent="0.25">
      <c r="A151" s="10" t="s">
        <v>298</v>
      </c>
      <c r="B151">
        <v>12290</v>
      </c>
    </row>
    <row r="152" spans="1:2" x14ac:dyDescent="0.25">
      <c r="A152" s="10" t="s">
        <v>191</v>
      </c>
      <c r="B152">
        <v>12316</v>
      </c>
    </row>
    <row r="153" spans="1:2" x14ac:dyDescent="0.25">
      <c r="A153" s="10" t="s">
        <v>329</v>
      </c>
      <c r="B153">
        <v>12390</v>
      </c>
    </row>
    <row r="154" spans="1:2" x14ac:dyDescent="0.25">
      <c r="A154" s="10" t="s">
        <v>344</v>
      </c>
      <c r="B154">
        <v>12542</v>
      </c>
    </row>
    <row r="155" spans="1:2" x14ac:dyDescent="0.25">
      <c r="A155" s="10" t="s">
        <v>351</v>
      </c>
      <c r="B155">
        <v>12554</v>
      </c>
    </row>
    <row r="156" spans="1:2" x14ac:dyDescent="0.25">
      <c r="A156" s="10" t="s">
        <v>301</v>
      </c>
      <c r="B156">
        <v>12655</v>
      </c>
    </row>
    <row r="157" spans="1:2" x14ac:dyDescent="0.25">
      <c r="A157" s="10" t="s">
        <v>177</v>
      </c>
      <c r="B157">
        <v>12676</v>
      </c>
    </row>
    <row r="158" spans="1:2" x14ac:dyDescent="0.25">
      <c r="A158" s="10" t="s">
        <v>251</v>
      </c>
      <c r="B158">
        <v>12746</v>
      </c>
    </row>
    <row r="159" spans="1:2" x14ac:dyDescent="0.25">
      <c r="A159" s="10" t="s">
        <v>320</v>
      </c>
      <c r="B159">
        <v>12827</v>
      </c>
    </row>
    <row r="160" spans="1:2" x14ac:dyDescent="0.25">
      <c r="A160" s="10" t="s">
        <v>338</v>
      </c>
      <c r="B160">
        <v>12841</v>
      </c>
    </row>
    <row r="161" spans="1:2" x14ac:dyDescent="0.25">
      <c r="A161" s="10" t="s">
        <v>233</v>
      </c>
      <c r="B161">
        <v>12848</v>
      </c>
    </row>
    <row r="162" spans="1:2" x14ac:dyDescent="0.25">
      <c r="A162" s="10" t="s">
        <v>199</v>
      </c>
      <c r="B162">
        <v>12859</v>
      </c>
    </row>
    <row r="163" spans="1:2" x14ac:dyDescent="0.25">
      <c r="A163" s="10" t="s">
        <v>178</v>
      </c>
      <c r="B163">
        <v>12995</v>
      </c>
    </row>
    <row r="164" spans="1:2" x14ac:dyDescent="0.25">
      <c r="A164" s="10" t="s">
        <v>176</v>
      </c>
      <c r="B164">
        <v>13080</v>
      </c>
    </row>
    <row r="165" spans="1:2" x14ac:dyDescent="0.25">
      <c r="A165" s="10" t="s">
        <v>265</v>
      </c>
      <c r="B165">
        <v>13169</v>
      </c>
    </row>
    <row r="166" spans="1:2" x14ac:dyDescent="0.25">
      <c r="A166" s="10" t="s">
        <v>289</v>
      </c>
      <c r="B166">
        <v>13456</v>
      </c>
    </row>
    <row r="167" spans="1:2" x14ac:dyDescent="0.25">
      <c r="A167" s="10" t="s">
        <v>157</v>
      </c>
      <c r="B167">
        <v>13553</v>
      </c>
    </row>
    <row r="168" spans="1:2" x14ac:dyDescent="0.25">
      <c r="A168" s="10" t="s">
        <v>276</v>
      </c>
      <c r="B168">
        <v>13655</v>
      </c>
    </row>
    <row r="169" spans="1:2" x14ac:dyDescent="0.25">
      <c r="A169" s="10" t="s">
        <v>239</v>
      </c>
      <c r="B169">
        <v>13717</v>
      </c>
    </row>
    <row r="170" spans="1:2" x14ac:dyDescent="0.25">
      <c r="A170" s="10" t="s">
        <v>160</v>
      </c>
      <c r="B170">
        <v>13732</v>
      </c>
    </row>
    <row r="171" spans="1:2" x14ac:dyDescent="0.25">
      <c r="A171" s="10" t="s">
        <v>203</v>
      </c>
      <c r="B171">
        <v>13768</v>
      </c>
    </row>
    <row r="172" spans="1:2" x14ac:dyDescent="0.25">
      <c r="A172" s="10" t="s">
        <v>189</v>
      </c>
      <c r="B172">
        <v>13816</v>
      </c>
    </row>
    <row r="173" spans="1:2" x14ac:dyDescent="0.25">
      <c r="A173" s="10" t="s">
        <v>337</v>
      </c>
      <c r="B173">
        <v>13825</v>
      </c>
    </row>
    <row r="174" spans="1:2" x14ac:dyDescent="0.25">
      <c r="A174" s="10" t="s">
        <v>312</v>
      </c>
      <c r="B174">
        <v>13946</v>
      </c>
    </row>
    <row r="175" spans="1:2" x14ac:dyDescent="0.25">
      <c r="A175" s="10" t="s">
        <v>340</v>
      </c>
      <c r="B175">
        <v>14137</v>
      </c>
    </row>
    <row r="176" spans="1:2" x14ac:dyDescent="0.25">
      <c r="A176" s="10" t="s">
        <v>171</v>
      </c>
      <c r="B176">
        <v>14681</v>
      </c>
    </row>
    <row r="177" spans="1:2" x14ac:dyDescent="0.25">
      <c r="A177" s="10" t="s">
        <v>185</v>
      </c>
      <c r="B177">
        <v>14784</v>
      </c>
    </row>
    <row r="178" spans="1:2" x14ac:dyDescent="0.25">
      <c r="A178" s="10" t="s">
        <v>315</v>
      </c>
      <c r="B178">
        <v>14825</v>
      </c>
    </row>
    <row r="179" spans="1:2" x14ac:dyDescent="0.25">
      <c r="A179" s="10" t="s">
        <v>220</v>
      </c>
      <c r="B179">
        <v>15491</v>
      </c>
    </row>
    <row r="180" spans="1:2" x14ac:dyDescent="0.25">
      <c r="A180" s="10" t="s">
        <v>339</v>
      </c>
      <c r="B180">
        <v>15573</v>
      </c>
    </row>
    <row r="181" spans="1:2" x14ac:dyDescent="0.25">
      <c r="A181" s="10" t="s">
        <v>326</v>
      </c>
      <c r="B181">
        <v>15655</v>
      </c>
    </row>
    <row r="182" spans="1:2" x14ac:dyDescent="0.25">
      <c r="A182" s="10" t="s">
        <v>241</v>
      </c>
      <c r="B182">
        <v>16152</v>
      </c>
    </row>
    <row r="183" spans="1:2" x14ac:dyDescent="0.25">
      <c r="A183" s="10" t="s">
        <v>291</v>
      </c>
      <c r="B183">
        <v>16315</v>
      </c>
    </row>
    <row r="184" spans="1:2" x14ac:dyDescent="0.25">
      <c r="A184" s="10" t="s">
        <v>236</v>
      </c>
      <c r="B184">
        <v>16473</v>
      </c>
    </row>
    <row r="185" spans="1:2" x14ac:dyDescent="0.25">
      <c r="A185" s="10" t="s">
        <v>330</v>
      </c>
      <c r="B185">
        <v>16540</v>
      </c>
    </row>
    <row r="186" spans="1:2" x14ac:dyDescent="0.25">
      <c r="A186" s="10" t="s">
        <v>162</v>
      </c>
      <c r="B186">
        <v>16650</v>
      </c>
    </row>
    <row r="187" spans="1:2" x14ac:dyDescent="0.25">
      <c r="A187" s="10" t="s">
        <v>240</v>
      </c>
      <c r="B187">
        <v>16696</v>
      </c>
    </row>
    <row r="188" spans="1:2" x14ac:dyDescent="0.25">
      <c r="A188" s="10" t="s">
        <v>249</v>
      </c>
      <c r="B188">
        <v>16731</v>
      </c>
    </row>
    <row r="189" spans="1:2" x14ac:dyDescent="0.25">
      <c r="A189" s="10" t="s">
        <v>217</v>
      </c>
      <c r="B189">
        <v>16751</v>
      </c>
    </row>
    <row r="190" spans="1:2" x14ac:dyDescent="0.25">
      <c r="A190" s="10" t="s">
        <v>198</v>
      </c>
      <c r="B190">
        <v>16811</v>
      </c>
    </row>
    <row r="191" spans="1:2" x14ac:dyDescent="0.25">
      <c r="A191" s="10" t="s">
        <v>230</v>
      </c>
      <c r="B191">
        <v>17004</v>
      </c>
    </row>
    <row r="192" spans="1:2" x14ac:dyDescent="0.25">
      <c r="A192" s="10" t="s">
        <v>342</v>
      </c>
      <c r="B192">
        <v>17123</v>
      </c>
    </row>
    <row r="193" spans="1:2" x14ac:dyDescent="0.25">
      <c r="A193" s="10" t="s">
        <v>252</v>
      </c>
      <c r="B193">
        <v>17130</v>
      </c>
    </row>
    <row r="194" spans="1:2" x14ac:dyDescent="0.25">
      <c r="A194" s="10" t="s">
        <v>286</v>
      </c>
      <c r="B194">
        <v>17249</v>
      </c>
    </row>
    <row r="195" spans="1:2" x14ac:dyDescent="0.25">
      <c r="A195" s="10" t="s">
        <v>175</v>
      </c>
      <c r="B195">
        <v>17261</v>
      </c>
    </row>
    <row r="196" spans="1:2" x14ac:dyDescent="0.25">
      <c r="A196" s="10" t="s">
        <v>210</v>
      </c>
      <c r="B196">
        <v>17314</v>
      </c>
    </row>
    <row r="197" spans="1:2" x14ac:dyDescent="0.25">
      <c r="A197" s="10" t="s">
        <v>161</v>
      </c>
      <c r="B197">
        <v>17328</v>
      </c>
    </row>
    <row r="198" spans="1:2" x14ac:dyDescent="0.25">
      <c r="A198" s="10" t="s">
        <v>319</v>
      </c>
      <c r="B198">
        <v>17609</v>
      </c>
    </row>
    <row r="199" spans="1:2" x14ac:dyDescent="0.25">
      <c r="A199" s="10" t="s">
        <v>288</v>
      </c>
      <c r="B199">
        <v>17610</v>
      </c>
    </row>
    <row r="200" spans="1:2" x14ac:dyDescent="0.25">
      <c r="A200" s="10" t="s">
        <v>216</v>
      </c>
      <c r="B200">
        <v>17658</v>
      </c>
    </row>
    <row r="201" spans="1:2" x14ac:dyDescent="0.25">
      <c r="A201" s="10" t="s">
        <v>227</v>
      </c>
      <c r="B201">
        <v>17678</v>
      </c>
    </row>
    <row r="202" spans="1:2" x14ac:dyDescent="0.25">
      <c r="A202" s="10" t="s">
        <v>209</v>
      </c>
      <c r="B202">
        <v>17746</v>
      </c>
    </row>
    <row r="203" spans="1:2" x14ac:dyDescent="0.25">
      <c r="A203" s="10" t="s">
        <v>258</v>
      </c>
      <c r="B203">
        <v>17832</v>
      </c>
    </row>
    <row r="204" spans="1:2" x14ac:dyDescent="0.25">
      <c r="A204" s="10" t="s">
        <v>354</v>
      </c>
      <c r="B204">
        <v>17934</v>
      </c>
    </row>
    <row r="205" spans="1:2" x14ac:dyDescent="0.25">
      <c r="A205" s="10" t="s">
        <v>336</v>
      </c>
      <c r="B205">
        <v>17968</v>
      </c>
    </row>
    <row r="206" spans="1:2" x14ac:dyDescent="0.25">
      <c r="A206" s="10" t="s">
        <v>213</v>
      </c>
      <c r="B206">
        <v>18052</v>
      </c>
    </row>
    <row r="207" spans="1:2" x14ac:dyDescent="0.25">
      <c r="A207" s="10" t="s">
        <v>196</v>
      </c>
      <c r="B207">
        <v>18083</v>
      </c>
    </row>
    <row r="208" spans="1:2" x14ac:dyDescent="0.25">
      <c r="A208" s="10" t="s">
        <v>212</v>
      </c>
      <c r="B208">
        <v>18440</v>
      </c>
    </row>
    <row r="209" spans="1:2" x14ac:dyDescent="0.25">
      <c r="A209" s="10" t="s">
        <v>261</v>
      </c>
      <c r="B209">
        <v>18540</v>
      </c>
    </row>
    <row r="210" spans="1:2" x14ac:dyDescent="0.25">
      <c r="A210" s="10" t="s">
        <v>297</v>
      </c>
      <c r="B210">
        <v>18541</v>
      </c>
    </row>
    <row r="211" spans="1:2" x14ac:dyDescent="0.25">
      <c r="A211" s="10" t="s">
        <v>259</v>
      </c>
      <c r="B211">
        <v>18659</v>
      </c>
    </row>
    <row r="212" spans="1:2" x14ac:dyDescent="0.25">
      <c r="A212" s="10" t="s">
        <v>275</v>
      </c>
      <c r="B212">
        <v>18898</v>
      </c>
    </row>
    <row r="213" spans="1:2" x14ac:dyDescent="0.25">
      <c r="A213" s="10" t="s">
        <v>253</v>
      </c>
      <c r="B213">
        <v>19263</v>
      </c>
    </row>
    <row r="214" spans="1:2" x14ac:dyDescent="0.25">
      <c r="A214" s="10" t="s">
        <v>285</v>
      </c>
      <c r="B214">
        <v>19348</v>
      </c>
    </row>
    <row r="215" spans="1:2" x14ac:dyDescent="0.25">
      <c r="A215" s="10" t="s">
        <v>184</v>
      </c>
      <c r="B215">
        <v>19466</v>
      </c>
    </row>
    <row r="216" spans="1:2" x14ac:dyDescent="0.25">
      <c r="A216" s="10" t="s">
        <v>302</v>
      </c>
      <c r="B216">
        <v>19492</v>
      </c>
    </row>
    <row r="217" spans="1:2" x14ac:dyDescent="0.25">
      <c r="A217" s="10" t="s">
        <v>164</v>
      </c>
      <c r="B217">
        <v>19497</v>
      </c>
    </row>
    <row r="218" spans="1:2" x14ac:dyDescent="0.25">
      <c r="A218" s="10" t="s">
        <v>254</v>
      </c>
      <c r="B218">
        <v>19662</v>
      </c>
    </row>
    <row r="219" spans="1:2" x14ac:dyDescent="0.25">
      <c r="A219" s="10" t="s">
        <v>333</v>
      </c>
      <c r="B219">
        <v>19787</v>
      </c>
    </row>
    <row r="220" spans="1:2" x14ac:dyDescent="0.25">
      <c r="A220" s="10" t="s">
        <v>243</v>
      </c>
      <c r="B220">
        <v>19812</v>
      </c>
    </row>
    <row r="221" spans="1:2" x14ac:dyDescent="0.25">
      <c r="A221" s="10" t="s">
        <v>190</v>
      </c>
      <c r="B221">
        <v>19945</v>
      </c>
    </row>
    <row r="222" spans="1:2" x14ac:dyDescent="0.25">
      <c r="A222" s="10" t="s">
        <v>223</v>
      </c>
      <c r="B222">
        <v>20026</v>
      </c>
    </row>
    <row r="223" spans="1:2" x14ac:dyDescent="0.25">
      <c r="A223" s="10" t="s">
        <v>279</v>
      </c>
      <c r="B223">
        <v>20494</v>
      </c>
    </row>
    <row r="224" spans="1:2" x14ac:dyDescent="0.25">
      <c r="A224" s="10" t="s">
        <v>180</v>
      </c>
      <c r="B224">
        <v>20499</v>
      </c>
    </row>
    <row r="225" spans="1:2" x14ac:dyDescent="0.25">
      <c r="A225" s="10" t="s">
        <v>346</v>
      </c>
      <c r="B225">
        <v>20988</v>
      </c>
    </row>
    <row r="226" spans="1:2" x14ac:dyDescent="0.25">
      <c r="A226" s="10" t="s">
        <v>246</v>
      </c>
      <c r="B226">
        <v>21070</v>
      </c>
    </row>
    <row r="227" spans="1:2" x14ac:dyDescent="0.25">
      <c r="A227" s="10" t="s">
        <v>313</v>
      </c>
      <c r="B227">
        <v>21242</v>
      </c>
    </row>
    <row r="228" spans="1:2" x14ac:dyDescent="0.25">
      <c r="A228" s="10" t="s">
        <v>307</v>
      </c>
      <c r="B228">
        <v>21312</v>
      </c>
    </row>
    <row r="229" spans="1:2" x14ac:dyDescent="0.25">
      <c r="A229" s="10" t="s">
        <v>290</v>
      </c>
      <c r="B229">
        <v>21343</v>
      </c>
    </row>
    <row r="230" spans="1:2" x14ac:dyDescent="0.25">
      <c r="A230" s="10" t="s">
        <v>215</v>
      </c>
      <c r="B230">
        <v>21524</v>
      </c>
    </row>
    <row r="231" spans="1:2" x14ac:dyDescent="0.25">
      <c r="A231" s="10" t="s">
        <v>306</v>
      </c>
      <c r="B231">
        <v>21525</v>
      </c>
    </row>
    <row r="232" spans="1:2" x14ac:dyDescent="0.25">
      <c r="A232" s="10" t="s">
        <v>172</v>
      </c>
      <c r="B232">
        <v>21800</v>
      </c>
    </row>
    <row r="233" spans="1:2" x14ac:dyDescent="0.25">
      <c r="A233" s="10" t="s">
        <v>292</v>
      </c>
      <c r="B233">
        <v>21957</v>
      </c>
    </row>
    <row r="234" spans="1:2" x14ac:dyDescent="0.25">
      <c r="A234" s="10" t="s">
        <v>347</v>
      </c>
      <c r="B234">
        <v>22125</v>
      </c>
    </row>
    <row r="235" spans="1:2" x14ac:dyDescent="0.25">
      <c r="A235" s="10" t="s">
        <v>257</v>
      </c>
      <c r="B235">
        <v>22285</v>
      </c>
    </row>
    <row r="236" spans="1:2" x14ac:dyDescent="0.25">
      <c r="A236" s="10" t="s">
        <v>208</v>
      </c>
      <c r="B236">
        <v>22306</v>
      </c>
    </row>
    <row r="237" spans="1:2" x14ac:dyDescent="0.25">
      <c r="A237" s="10" t="s">
        <v>181</v>
      </c>
      <c r="B237">
        <v>22507</v>
      </c>
    </row>
    <row r="238" spans="1:2" x14ac:dyDescent="0.25">
      <c r="A238" s="10" t="s">
        <v>311</v>
      </c>
      <c r="B238">
        <v>22511</v>
      </c>
    </row>
    <row r="239" spans="1:2" x14ac:dyDescent="0.25">
      <c r="A239" s="10" t="s">
        <v>197</v>
      </c>
      <c r="B239">
        <v>22615</v>
      </c>
    </row>
    <row r="240" spans="1:2" x14ac:dyDescent="0.25">
      <c r="A240" s="10" t="s">
        <v>284</v>
      </c>
      <c r="B240">
        <v>22701</v>
      </c>
    </row>
    <row r="241" spans="1:2" x14ac:dyDescent="0.25">
      <c r="A241" s="10" t="s">
        <v>245</v>
      </c>
      <c r="B241">
        <v>22720</v>
      </c>
    </row>
    <row r="242" spans="1:2" x14ac:dyDescent="0.25">
      <c r="A242" s="10" t="s">
        <v>278</v>
      </c>
      <c r="B242">
        <v>22740</v>
      </c>
    </row>
    <row r="243" spans="1:2" x14ac:dyDescent="0.25">
      <c r="A243" s="10" t="s">
        <v>314</v>
      </c>
      <c r="B243">
        <v>22822</v>
      </c>
    </row>
    <row r="244" spans="1:2" x14ac:dyDescent="0.25">
      <c r="A244" s="10" t="s">
        <v>222</v>
      </c>
      <c r="B244">
        <v>23089</v>
      </c>
    </row>
    <row r="245" spans="1:2" x14ac:dyDescent="0.25">
      <c r="A245" s="10" t="s">
        <v>324</v>
      </c>
      <c r="B245">
        <v>23426</v>
      </c>
    </row>
    <row r="246" spans="1:2" x14ac:dyDescent="0.25">
      <c r="A246" s="10" t="s">
        <v>343</v>
      </c>
      <c r="B246">
        <v>23457</v>
      </c>
    </row>
    <row r="247" spans="1:2" x14ac:dyDescent="0.25">
      <c r="A247" s="10" t="s">
        <v>193</v>
      </c>
      <c r="B247">
        <v>23738</v>
      </c>
    </row>
    <row r="248" spans="1:2" x14ac:dyDescent="0.25">
      <c r="A248" s="10" t="s">
        <v>194</v>
      </c>
      <c r="B248">
        <v>23819</v>
      </c>
    </row>
    <row r="249" spans="1:2" x14ac:dyDescent="0.25">
      <c r="A249" s="10" t="s">
        <v>303</v>
      </c>
      <c r="B249">
        <v>23823</v>
      </c>
    </row>
    <row r="250" spans="1:2" x14ac:dyDescent="0.25">
      <c r="A250" s="10" t="s">
        <v>242</v>
      </c>
      <c r="B250">
        <v>23879</v>
      </c>
    </row>
    <row r="251" spans="1:2" x14ac:dyDescent="0.25">
      <c r="A251" s="10" t="s">
        <v>274</v>
      </c>
      <c r="B251">
        <v>23944</v>
      </c>
    </row>
    <row r="252" spans="1:2" x14ac:dyDescent="0.25">
      <c r="A252" s="10" t="s">
        <v>317</v>
      </c>
      <c r="B252">
        <v>24181</v>
      </c>
    </row>
    <row r="253" spans="1:2" x14ac:dyDescent="0.25">
      <c r="A253" s="10" t="s">
        <v>349</v>
      </c>
      <c r="B253">
        <v>24450</v>
      </c>
    </row>
    <row r="254" spans="1:2" x14ac:dyDescent="0.25">
      <c r="A254" s="10" t="s">
        <v>348</v>
      </c>
      <c r="B254">
        <v>24547</v>
      </c>
    </row>
    <row r="255" spans="1:2" x14ac:dyDescent="0.25">
      <c r="A255" s="10" t="s">
        <v>205</v>
      </c>
      <c r="B255">
        <v>24630</v>
      </c>
    </row>
    <row r="256" spans="1:2" x14ac:dyDescent="0.25">
      <c r="A256" s="10" t="s">
        <v>310</v>
      </c>
      <c r="B256">
        <v>24941</v>
      </c>
    </row>
    <row r="257" spans="1:2" x14ac:dyDescent="0.25">
      <c r="A257" s="10" t="s">
        <v>237</v>
      </c>
      <c r="B257">
        <v>25437</v>
      </c>
    </row>
    <row r="258" spans="1:2" x14ac:dyDescent="0.25">
      <c r="A258" s="10" t="s">
        <v>255</v>
      </c>
      <c r="B258">
        <v>25528</v>
      </c>
    </row>
    <row r="259" spans="1:2" x14ac:dyDescent="0.25">
      <c r="A259" s="10" t="s">
        <v>250</v>
      </c>
      <c r="B259">
        <v>25721</v>
      </c>
    </row>
    <row r="260" spans="1:2" x14ac:dyDescent="0.25">
      <c r="A260" s="10" t="s">
        <v>179</v>
      </c>
      <c r="B260">
        <v>26402</v>
      </c>
    </row>
    <row r="261" spans="1:2" x14ac:dyDescent="0.25">
      <c r="A261" s="10" t="s">
        <v>228</v>
      </c>
      <c r="B261">
        <v>26496</v>
      </c>
    </row>
    <row r="262" spans="1:2" x14ac:dyDescent="0.25">
      <c r="A262" s="10" t="s">
        <v>211</v>
      </c>
      <c r="B262">
        <v>26570</v>
      </c>
    </row>
    <row r="263" spans="1:2" x14ac:dyDescent="0.25">
      <c r="A263" s="10" t="s">
        <v>235</v>
      </c>
      <c r="B263">
        <v>26582</v>
      </c>
    </row>
    <row r="264" spans="1:2" x14ac:dyDescent="0.25">
      <c r="A264" s="10" t="s">
        <v>328</v>
      </c>
      <c r="B264">
        <v>26624</v>
      </c>
    </row>
    <row r="265" spans="1:2" x14ac:dyDescent="0.25">
      <c r="A265" s="10" t="s">
        <v>183</v>
      </c>
      <c r="B265">
        <v>26850</v>
      </c>
    </row>
    <row r="266" spans="1:2" x14ac:dyDescent="0.25">
      <c r="A266" s="10" t="s">
        <v>201</v>
      </c>
      <c r="B266">
        <v>27125</v>
      </c>
    </row>
    <row r="267" spans="1:2" x14ac:dyDescent="0.25">
      <c r="A267" s="10" t="s">
        <v>267</v>
      </c>
      <c r="B267">
        <v>27189</v>
      </c>
    </row>
    <row r="268" spans="1:2" x14ac:dyDescent="0.25">
      <c r="A268" s="10" t="s">
        <v>168</v>
      </c>
      <c r="B268">
        <v>27329</v>
      </c>
    </row>
    <row r="269" spans="1:2" x14ac:dyDescent="0.25">
      <c r="A269" s="10" t="s">
        <v>277</v>
      </c>
      <c r="B269">
        <v>27432</v>
      </c>
    </row>
    <row r="270" spans="1:2" x14ac:dyDescent="0.25">
      <c r="A270" s="10" t="s">
        <v>173</v>
      </c>
      <c r="B270">
        <v>27543</v>
      </c>
    </row>
    <row r="271" spans="1:2" x14ac:dyDescent="0.25">
      <c r="A271" s="10" t="s">
        <v>270</v>
      </c>
      <c r="B271">
        <v>27755</v>
      </c>
    </row>
    <row r="272" spans="1:2" x14ac:dyDescent="0.25">
      <c r="A272" s="10" t="s">
        <v>214</v>
      </c>
      <c r="B272">
        <v>27796</v>
      </c>
    </row>
    <row r="273" spans="1:2" x14ac:dyDescent="0.25">
      <c r="A273" s="10" t="s">
        <v>166</v>
      </c>
      <c r="B273">
        <v>27904</v>
      </c>
    </row>
    <row r="274" spans="1:2" x14ac:dyDescent="0.25">
      <c r="A274" s="10" t="s">
        <v>322</v>
      </c>
      <c r="B274">
        <v>27959</v>
      </c>
    </row>
    <row r="275" spans="1:2" x14ac:dyDescent="0.25">
      <c r="A275" s="10" t="s">
        <v>186</v>
      </c>
      <c r="B275">
        <v>28085</v>
      </c>
    </row>
    <row r="276" spans="1:2" x14ac:dyDescent="0.25">
      <c r="A276" s="10" t="s">
        <v>221</v>
      </c>
      <c r="B276">
        <v>28106</v>
      </c>
    </row>
    <row r="277" spans="1:2" x14ac:dyDescent="0.25">
      <c r="A277" s="10" t="s">
        <v>263</v>
      </c>
      <c r="B277">
        <v>28130</v>
      </c>
    </row>
    <row r="278" spans="1:2" x14ac:dyDescent="0.25">
      <c r="A278" s="10" t="s">
        <v>294</v>
      </c>
      <c r="B278">
        <v>28336</v>
      </c>
    </row>
    <row r="279" spans="1:2" x14ac:dyDescent="0.25">
      <c r="A279" s="10" t="s">
        <v>204</v>
      </c>
      <c r="B279">
        <v>28518</v>
      </c>
    </row>
    <row r="280" spans="1:2" x14ac:dyDescent="0.25">
      <c r="A280" s="10" t="s">
        <v>244</v>
      </c>
      <c r="B280">
        <v>28689</v>
      </c>
    </row>
    <row r="281" spans="1:2" x14ac:dyDescent="0.25">
      <c r="A281" s="10" t="s">
        <v>226</v>
      </c>
      <c r="B281">
        <v>28902</v>
      </c>
    </row>
    <row r="282" spans="1:2" x14ac:dyDescent="0.25">
      <c r="A282" s="10" t="s">
        <v>283</v>
      </c>
      <c r="B282">
        <v>28977</v>
      </c>
    </row>
    <row r="283" spans="1:2" x14ac:dyDescent="0.25">
      <c r="A283" s="10" t="s">
        <v>282</v>
      </c>
      <c r="B283">
        <v>29035</v>
      </c>
    </row>
    <row r="284" spans="1:2" x14ac:dyDescent="0.25">
      <c r="A284" s="10" t="s">
        <v>165</v>
      </c>
      <c r="B284">
        <v>29094</v>
      </c>
    </row>
    <row r="285" spans="1:2" x14ac:dyDescent="0.25">
      <c r="A285" s="10" t="s">
        <v>219</v>
      </c>
      <c r="B285">
        <v>29735</v>
      </c>
    </row>
    <row r="286" spans="1:2" x14ac:dyDescent="0.25">
      <c r="A286" s="10" t="s">
        <v>299</v>
      </c>
      <c r="B286">
        <v>29811</v>
      </c>
    </row>
    <row r="287" spans="1:2" x14ac:dyDescent="0.25">
      <c r="A287" s="10" t="s">
        <v>139</v>
      </c>
      <c r="B287">
        <v>3235200</v>
      </c>
    </row>
  </sheetData>
  <mergeCells count="30">
    <mergeCell ref="A85:C85"/>
    <mergeCell ref="A28:C28"/>
    <mergeCell ref="A32:C32"/>
    <mergeCell ref="A37:C37"/>
    <mergeCell ref="A39:C39"/>
    <mergeCell ref="A41:C41"/>
    <mergeCell ref="A77:C77"/>
    <mergeCell ref="A43:D43"/>
    <mergeCell ref="A45:D45"/>
    <mergeCell ref="A47:D47"/>
    <mergeCell ref="A49:D49"/>
    <mergeCell ref="A51:C51"/>
    <mergeCell ref="A69:C69"/>
    <mergeCell ref="A53:C53"/>
    <mergeCell ref="A57:C57"/>
    <mergeCell ref="A60:C60"/>
    <mergeCell ref="A12:C12"/>
    <mergeCell ref="A13:C13"/>
    <mergeCell ref="A1:D1"/>
    <mergeCell ref="A2:C2"/>
    <mergeCell ref="A4:C4"/>
    <mergeCell ref="A5:XFD5"/>
    <mergeCell ref="A6:C6"/>
    <mergeCell ref="A8:C8"/>
    <mergeCell ref="A65:C65"/>
    <mergeCell ref="A67:C67"/>
    <mergeCell ref="A19:C19"/>
    <mergeCell ref="A23:C23"/>
    <mergeCell ref="A26:C26"/>
    <mergeCell ref="A22:C22"/>
  </mergeCells>
  <conditionalFormatting sqref="F76">
    <cfRule type="top10" dxfId="2" priority="1" rank="1"/>
  </conditionalFormatting>
  <pageMargins left="0.7" right="0.7" top="0.75" bottom="0.75" header="0.3" footer="0.3"/>
  <pageSetup orientation="portrait"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520D-095E-445F-BABE-35F1A59BAB04}">
  <dimension ref="A1:L218"/>
  <sheetViews>
    <sheetView workbookViewId="0">
      <selection activeCell="C8" sqref="C8"/>
    </sheetView>
  </sheetViews>
  <sheetFormatPr defaultRowHeight="15" x14ac:dyDescent="0.25"/>
  <cols>
    <col min="1" max="1" width="13.42578125" bestFit="1" customWidth="1"/>
    <col min="2" max="2" width="12.7109375" bestFit="1" customWidth="1"/>
    <col min="3" max="3" width="12" bestFit="1" customWidth="1"/>
    <col min="4" max="4" width="13.42578125" bestFit="1" customWidth="1"/>
    <col min="5" max="5" width="16.5703125" bestFit="1" customWidth="1"/>
    <col min="6" max="6" width="16" bestFit="1" customWidth="1"/>
    <col min="7" max="7" width="13.42578125" bestFit="1" customWidth="1"/>
    <col min="8" max="9" width="12.5703125" bestFit="1" customWidth="1"/>
    <col min="10" max="10" width="13.42578125" bestFit="1" customWidth="1"/>
    <col min="11" max="12" width="12.5703125" bestFit="1" customWidth="1"/>
  </cols>
  <sheetData>
    <row r="1" spans="1:12" x14ac:dyDescent="0.25">
      <c r="A1" s="24" t="s">
        <v>357</v>
      </c>
      <c r="B1" s="24"/>
      <c r="D1" s="24" t="s">
        <v>358</v>
      </c>
      <c r="E1" s="24"/>
      <c r="G1" s="24" t="s">
        <v>359</v>
      </c>
      <c r="H1" s="24"/>
      <c r="J1" s="24" t="s">
        <v>360</v>
      </c>
      <c r="K1" s="24"/>
      <c r="L1" s="11"/>
    </row>
    <row r="3" spans="1:12" x14ac:dyDescent="0.25">
      <c r="A3" s="9" t="s">
        <v>138</v>
      </c>
      <c r="B3" t="s">
        <v>140</v>
      </c>
      <c r="D3" s="9" t="s">
        <v>138</v>
      </c>
      <c r="E3" t="s">
        <v>142</v>
      </c>
      <c r="G3" s="9" t="s">
        <v>138</v>
      </c>
      <c r="H3" t="s">
        <v>140</v>
      </c>
      <c r="J3" s="9" t="s">
        <v>138</v>
      </c>
      <c r="K3" t="s">
        <v>140</v>
      </c>
    </row>
    <row r="4" spans="1:12" x14ac:dyDescent="0.25">
      <c r="A4" s="10" t="s">
        <v>9</v>
      </c>
      <c r="B4" s="26">
        <v>881864</v>
      </c>
      <c r="D4" s="10" t="s">
        <v>15</v>
      </c>
      <c r="E4" s="26">
        <v>116163</v>
      </c>
      <c r="G4" s="10" t="s">
        <v>28</v>
      </c>
      <c r="H4">
        <v>750452</v>
      </c>
      <c r="J4" s="10" t="s">
        <v>143</v>
      </c>
      <c r="K4" s="26">
        <v>458875</v>
      </c>
    </row>
    <row r="5" spans="1:12" x14ac:dyDescent="0.25">
      <c r="A5" s="10" t="s">
        <v>17</v>
      </c>
      <c r="B5" s="26">
        <v>866015</v>
      </c>
      <c r="D5" s="10" t="s">
        <v>26</v>
      </c>
      <c r="E5" s="26">
        <v>110535</v>
      </c>
      <c r="G5" s="10" t="s">
        <v>23</v>
      </c>
      <c r="H5">
        <v>693403</v>
      </c>
      <c r="J5" s="10" t="s">
        <v>144</v>
      </c>
      <c r="K5" s="26">
        <v>466579</v>
      </c>
    </row>
    <row r="6" spans="1:12" x14ac:dyDescent="0.25">
      <c r="A6" s="10" t="s">
        <v>37</v>
      </c>
      <c r="B6" s="26">
        <v>788936</v>
      </c>
      <c r="D6" s="10" t="s">
        <v>32</v>
      </c>
      <c r="E6" s="26">
        <v>104776</v>
      </c>
      <c r="G6" s="10" t="s">
        <v>35</v>
      </c>
      <c r="H6">
        <v>648534</v>
      </c>
      <c r="J6" s="10" t="s">
        <v>145</v>
      </c>
      <c r="K6" s="26">
        <v>534382</v>
      </c>
    </row>
    <row r="7" spans="1:12" x14ac:dyDescent="0.25">
      <c r="A7" s="10" t="s">
        <v>14</v>
      </c>
      <c r="B7" s="26">
        <v>698385</v>
      </c>
      <c r="D7" s="10" t="s">
        <v>19</v>
      </c>
      <c r="E7" s="26">
        <v>99690</v>
      </c>
      <c r="G7" s="10" t="s">
        <v>33</v>
      </c>
      <c r="H7">
        <v>633574</v>
      </c>
      <c r="J7" s="10" t="s">
        <v>146</v>
      </c>
      <c r="K7" s="26">
        <v>468761</v>
      </c>
    </row>
    <row r="8" spans="1:12" x14ac:dyDescent="0.25">
      <c r="A8" s="10" t="s">
        <v>139</v>
      </c>
      <c r="B8" s="26">
        <v>3235200</v>
      </c>
      <c r="D8" s="10" t="s">
        <v>42</v>
      </c>
      <c r="E8" s="26">
        <v>96237</v>
      </c>
      <c r="G8" s="10" t="s">
        <v>13</v>
      </c>
      <c r="H8">
        <v>509237</v>
      </c>
      <c r="J8" s="10" t="s">
        <v>147</v>
      </c>
      <c r="K8" s="26">
        <v>545139</v>
      </c>
    </row>
    <row r="9" spans="1:12" x14ac:dyDescent="0.25">
      <c r="D9" s="10" t="s">
        <v>29</v>
      </c>
      <c r="E9" s="26">
        <v>95108</v>
      </c>
      <c r="G9" s="10" t="s">
        <v>139</v>
      </c>
      <c r="H9">
        <v>3235200</v>
      </c>
      <c r="J9" s="10" t="s">
        <v>148</v>
      </c>
      <c r="K9" s="26">
        <v>456613</v>
      </c>
    </row>
    <row r="10" spans="1:12" x14ac:dyDescent="0.25">
      <c r="A10" s="33">
        <f>GETPIVOTDATA("Sales",$A$3)</f>
        <v>3235200</v>
      </c>
      <c r="D10" s="10" t="s">
        <v>11</v>
      </c>
      <c r="E10" s="26">
        <v>89706</v>
      </c>
      <c r="J10" s="10" t="s">
        <v>149</v>
      </c>
      <c r="K10" s="26">
        <v>304851</v>
      </c>
    </row>
    <row r="11" spans="1:12" x14ac:dyDescent="0.25">
      <c r="A11" s="34">
        <f>GETPIVOTDATA("Profit",$D$3)</f>
        <v>788066</v>
      </c>
      <c r="D11" s="10" t="s">
        <v>21</v>
      </c>
      <c r="E11" s="26">
        <v>75851</v>
      </c>
      <c r="J11" s="10" t="s">
        <v>139</v>
      </c>
      <c r="K11" s="26">
        <v>3235200</v>
      </c>
    </row>
    <row r="12" spans="1:12" x14ac:dyDescent="0.25">
      <c r="A12" s="14"/>
      <c r="D12" s="10" t="s">
        <v>139</v>
      </c>
      <c r="E12" s="26">
        <v>788066</v>
      </c>
    </row>
    <row r="15" spans="1:12" ht="15" customHeight="1" x14ac:dyDescent="0.25">
      <c r="A15" s="25" t="s">
        <v>356</v>
      </c>
      <c r="B15" s="25"/>
      <c r="C15" s="25"/>
      <c r="D15" s="25"/>
      <c r="G15" s="11" t="s">
        <v>363</v>
      </c>
      <c r="J15" s="24" t="s">
        <v>365</v>
      </c>
      <c r="K15" s="24"/>
      <c r="L15" s="24"/>
    </row>
    <row r="17" spans="1:11" x14ac:dyDescent="0.25">
      <c r="A17" s="9" t="s">
        <v>138</v>
      </c>
      <c r="B17" t="s">
        <v>142</v>
      </c>
      <c r="G17" s="9" t="s">
        <v>138</v>
      </c>
      <c r="H17" t="s">
        <v>140</v>
      </c>
      <c r="J17" s="9" t="s">
        <v>138</v>
      </c>
      <c r="K17" t="s">
        <v>140</v>
      </c>
    </row>
    <row r="18" spans="1:11" x14ac:dyDescent="0.25">
      <c r="A18" s="10" t="s">
        <v>21</v>
      </c>
      <c r="B18" s="12">
        <v>9.6249552702438623E-2</v>
      </c>
      <c r="G18" s="10" t="s">
        <v>18</v>
      </c>
      <c r="H18" s="26">
        <v>1638383</v>
      </c>
      <c r="J18" s="10" t="s">
        <v>156</v>
      </c>
      <c r="K18" s="26">
        <v>5811</v>
      </c>
    </row>
    <row r="19" spans="1:11" x14ac:dyDescent="0.25">
      <c r="A19" s="10" t="s">
        <v>42</v>
      </c>
      <c r="B19" s="12">
        <v>0.12211794443612591</v>
      </c>
      <c r="G19" s="10" t="s">
        <v>10</v>
      </c>
      <c r="H19" s="26">
        <v>1596817</v>
      </c>
      <c r="J19" s="10" t="s">
        <v>157</v>
      </c>
      <c r="K19" s="26">
        <v>13553</v>
      </c>
    </row>
    <row r="20" spans="1:11" x14ac:dyDescent="0.25">
      <c r="A20" s="10" t="s">
        <v>15</v>
      </c>
      <c r="B20" s="12">
        <v>0.14740262871383869</v>
      </c>
      <c r="G20" s="10" t="s">
        <v>139</v>
      </c>
      <c r="H20" s="26">
        <v>3235200</v>
      </c>
      <c r="J20" s="10" t="s">
        <v>158</v>
      </c>
      <c r="K20" s="26">
        <v>7987</v>
      </c>
    </row>
    <row r="21" spans="1:11" x14ac:dyDescent="0.25">
      <c r="A21" s="10" t="s">
        <v>29</v>
      </c>
      <c r="B21" s="12">
        <v>0.12068532331048415</v>
      </c>
      <c r="J21" s="10" t="s">
        <v>159</v>
      </c>
      <c r="K21" s="26">
        <v>3254</v>
      </c>
    </row>
    <row r="22" spans="1:11" x14ac:dyDescent="0.25">
      <c r="A22" s="10" t="s">
        <v>26</v>
      </c>
      <c r="B22" s="12">
        <v>0.14026109488291591</v>
      </c>
      <c r="J22" s="10" t="s">
        <v>160</v>
      </c>
      <c r="K22" s="26">
        <v>13732</v>
      </c>
    </row>
    <row r="23" spans="1:11" x14ac:dyDescent="0.25">
      <c r="A23" s="10" t="s">
        <v>19</v>
      </c>
      <c r="B23" s="12">
        <v>0.12649955714369102</v>
      </c>
      <c r="J23" s="10" t="s">
        <v>161</v>
      </c>
      <c r="K23" s="26">
        <v>17328</v>
      </c>
    </row>
    <row r="24" spans="1:11" x14ac:dyDescent="0.25">
      <c r="A24" s="10" t="s">
        <v>11</v>
      </c>
      <c r="B24" s="12">
        <v>0.11383056749054013</v>
      </c>
      <c r="J24" s="10" t="s">
        <v>162</v>
      </c>
      <c r="K24" s="26">
        <v>16650</v>
      </c>
    </row>
    <row r="25" spans="1:11" x14ac:dyDescent="0.25">
      <c r="A25" s="10" t="s">
        <v>32</v>
      </c>
      <c r="B25" s="12">
        <v>0.13295333131996559</v>
      </c>
      <c r="J25" s="10" t="s">
        <v>163</v>
      </c>
      <c r="K25" s="26">
        <v>4964</v>
      </c>
    </row>
    <row r="26" spans="1:11" x14ac:dyDescent="0.25">
      <c r="A26" s="10" t="s">
        <v>139</v>
      </c>
      <c r="B26" s="12">
        <v>1</v>
      </c>
      <c r="J26" s="10" t="s">
        <v>164</v>
      </c>
      <c r="K26" s="26">
        <v>19497</v>
      </c>
    </row>
    <row r="27" spans="1:11" x14ac:dyDescent="0.25">
      <c r="J27" s="10" t="s">
        <v>165</v>
      </c>
      <c r="K27" s="26">
        <v>29094</v>
      </c>
    </row>
    <row r="28" spans="1:11" x14ac:dyDescent="0.25">
      <c r="J28" s="10" t="s">
        <v>166</v>
      </c>
      <c r="K28" s="26">
        <v>27904</v>
      </c>
    </row>
    <row r="29" spans="1:11" x14ac:dyDescent="0.25">
      <c r="J29" s="10" t="s">
        <v>167</v>
      </c>
      <c r="K29" s="26">
        <v>9233</v>
      </c>
    </row>
    <row r="30" spans="1:11" x14ac:dyDescent="0.25">
      <c r="J30" s="10" t="s">
        <v>168</v>
      </c>
      <c r="K30" s="26">
        <v>27329</v>
      </c>
    </row>
    <row r="31" spans="1:11" x14ac:dyDescent="0.25">
      <c r="A31" s="24" t="s">
        <v>377</v>
      </c>
      <c r="B31" s="24"/>
      <c r="C31" s="24"/>
      <c r="E31" s="24" t="s">
        <v>383</v>
      </c>
      <c r="F31" s="24"/>
      <c r="G31" s="24"/>
      <c r="J31" s="10" t="s">
        <v>169</v>
      </c>
      <c r="K31" s="26">
        <v>6994</v>
      </c>
    </row>
    <row r="32" spans="1:11" x14ac:dyDescent="0.25">
      <c r="J32" s="10" t="s">
        <v>170</v>
      </c>
      <c r="K32" s="26">
        <v>6822</v>
      </c>
    </row>
    <row r="33" spans="1:11" x14ac:dyDescent="0.25">
      <c r="A33" s="9" t="s">
        <v>138</v>
      </c>
      <c r="B33" t="s">
        <v>376</v>
      </c>
      <c r="E33" s="9" t="s">
        <v>138</v>
      </c>
      <c r="F33" t="s">
        <v>382</v>
      </c>
      <c r="J33" s="10" t="s">
        <v>171</v>
      </c>
      <c r="K33" s="26">
        <v>14681</v>
      </c>
    </row>
    <row r="34" spans="1:11" x14ac:dyDescent="0.25">
      <c r="A34" s="10" t="s">
        <v>28</v>
      </c>
      <c r="B34">
        <v>1</v>
      </c>
      <c r="E34" s="10" t="s">
        <v>153</v>
      </c>
      <c r="F34">
        <v>2447134</v>
      </c>
      <c r="J34" s="10" t="s">
        <v>172</v>
      </c>
      <c r="K34" s="26">
        <v>21800</v>
      </c>
    </row>
    <row r="35" spans="1:11" x14ac:dyDescent="0.25">
      <c r="A35" s="10" t="s">
        <v>23</v>
      </c>
      <c r="B35">
        <v>2</v>
      </c>
      <c r="E35" s="10" t="s">
        <v>155</v>
      </c>
      <c r="F35">
        <v>200</v>
      </c>
      <c r="G35">
        <f>GETPIVOTDATA("Column2",$E$33,"Column1","• Total Orders")</f>
        <v>200</v>
      </c>
      <c r="J35" s="10" t="s">
        <v>173</v>
      </c>
      <c r="K35" s="26">
        <v>27543</v>
      </c>
    </row>
    <row r="36" spans="1:11" x14ac:dyDescent="0.25">
      <c r="A36" s="10" t="s">
        <v>35</v>
      </c>
      <c r="B36">
        <v>3</v>
      </c>
      <c r="E36" s="10" t="s">
        <v>154</v>
      </c>
      <c r="F36">
        <v>788066</v>
      </c>
      <c r="J36" s="10" t="s">
        <v>174</v>
      </c>
      <c r="K36" s="26">
        <v>8177</v>
      </c>
    </row>
    <row r="37" spans="1:11" x14ac:dyDescent="0.25">
      <c r="A37" s="10" t="s">
        <v>33</v>
      </c>
      <c r="B37">
        <v>4</v>
      </c>
      <c r="E37" s="10" t="s">
        <v>152</v>
      </c>
      <c r="F37">
        <v>3235200</v>
      </c>
      <c r="J37" s="10" t="s">
        <v>175</v>
      </c>
      <c r="K37" s="26">
        <v>17261</v>
      </c>
    </row>
    <row r="38" spans="1:11" x14ac:dyDescent="0.25">
      <c r="A38" s="10" t="s">
        <v>13</v>
      </c>
      <c r="B38">
        <v>5</v>
      </c>
      <c r="J38" s="10" t="s">
        <v>176</v>
      </c>
      <c r="K38" s="26">
        <v>13080</v>
      </c>
    </row>
    <row r="39" spans="1:11" x14ac:dyDescent="0.25">
      <c r="J39" s="10" t="s">
        <v>177</v>
      </c>
      <c r="K39" s="26">
        <v>12676</v>
      </c>
    </row>
    <row r="40" spans="1:11" x14ac:dyDescent="0.25">
      <c r="J40" s="10" t="s">
        <v>178</v>
      </c>
      <c r="K40" s="26">
        <v>12995</v>
      </c>
    </row>
    <row r="41" spans="1:11" x14ac:dyDescent="0.25">
      <c r="A41" s="9" t="s">
        <v>138</v>
      </c>
      <c r="B41" t="s">
        <v>140</v>
      </c>
      <c r="E41" t="s">
        <v>384</v>
      </c>
      <c r="J41" s="10" t="s">
        <v>179</v>
      </c>
      <c r="K41" s="26">
        <v>26402</v>
      </c>
    </row>
    <row r="42" spans="1:11" x14ac:dyDescent="0.25">
      <c r="A42" s="10" t="s">
        <v>28</v>
      </c>
      <c r="B42" s="26">
        <v>750452</v>
      </c>
      <c r="E42" s="26">
        <v>200</v>
      </c>
      <c r="F42">
        <f>GETPIVOTDATA("OrderID",$E$41)</f>
        <v>200</v>
      </c>
      <c r="J42" s="10" t="s">
        <v>180</v>
      </c>
      <c r="K42" s="26">
        <v>20499</v>
      </c>
    </row>
    <row r="43" spans="1:11" x14ac:dyDescent="0.25">
      <c r="A43" s="10" t="s">
        <v>23</v>
      </c>
      <c r="B43" s="26">
        <v>693403</v>
      </c>
      <c r="J43" s="10" t="s">
        <v>181</v>
      </c>
      <c r="K43" s="26">
        <v>22507</v>
      </c>
    </row>
    <row r="44" spans="1:11" x14ac:dyDescent="0.25">
      <c r="A44" s="10" t="s">
        <v>35</v>
      </c>
      <c r="B44" s="26">
        <v>648534</v>
      </c>
      <c r="J44" s="10" t="s">
        <v>182</v>
      </c>
      <c r="K44" s="26">
        <v>4786</v>
      </c>
    </row>
    <row r="45" spans="1:11" x14ac:dyDescent="0.25">
      <c r="A45" s="10" t="s">
        <v>33</v>
      </c>
      <c r="B45" s="26">
        <v>633574</v>
      </c>
      <c r="J45" s="10" t="s">
        <v>183</v>
      </c>
      <c r="K45" s="26">
        <v>26850</v>
      </c>
    </row>
    <row r="46" spans="1:11" x14ac:dyDescent="0.25">
      <c r="A46" s="10" t="s">
        <v>13</v>
      </c>
      <c r="B46" s="26">
        <v>509237</v>
      </c>
      <c r="J46" s="10" t="s">
        <v>184</v>
      </c>
      <c r="K46" s="26">
        <v>19466</v>
      </c>
    </row>
    <row r="47" spans="1:11" x14ac:dyDescent="0.25">
      <c r="J47" s="10" t="s">
        <v>185</v>
      </c>
      <c r="K47" s="26">
        <v>14784</v>
      </c>
    </row>
    <row r="48" spans="1:11" x14ac:dyDescent="0.25">
      <c r="J48" s="10" t="s">
        <v>186</v>
      </c>
      <c r="K48" s="26">
        <v>28085</v>
      </c>
    </row>
    <row r="49" spans="2:11" ht="18.75" x14ac:dyDescent="0.3">
      <c r="B49" s="15" t="str">
        <f>A42</f>
        <v>Aisha</v>
      </c>
      <c r="J49" s="10" t="s">
        <v>187</v>
      </c>
      <c r="K49" s="26">
        <v>11264</v>
      </c>
    </row>
    <row r="50" spans="2:11" x14ac:dyDescent="0.25">
      <c r="J50" s="10" t="s">
        <v>188</v>
      </c>
      <c r="K50" s="26">
        <v>10384</v>
      </c>
    </row>
    <row r="51" spans="2:11" x14ac:dyDescent="0.25">
      <c r="J51" s="10" t="s">
        <v>189</v>
      </c>
      <c r="K51" s="26">
        <v>13816</v>
      </c>
    </row>
    <row r="52" spans="2:11" x14ac:dyDescent="0.25">
      <c r="J52" s="10" t="s">
        <v>190</v>
      </c>
      <c r="K52" s="26">
        <v>19945</v>
      </c>
    </row>
    <row r="53" spans="2:11" x14ac:dyDescent="0.25">
      <c r="J53" s="10" t="s">
        <v>191</v>
      </c>
      <c r="K53" s="26">
        <v>12316</v>
      </c>
    </row>
    <row r="54" spans="2:11" x14ac:dyDescent="0.25">
      <c r="J54" s="10" t="s">
        <v>192</v>
      </c>
      <c r="K54" s="26">
        <v>5269</v>
      </c>
    </row>
    <row r="55" spans="2:11" x14ac:dyDescent="0.25">
      <c r="J55" s="10" t="s">
        <v>193</v>
      </c>
      <c r="K55" s="26">
        <v>23738</v>
      </c>
    </row>
    <row r="56" spans="2:11" x14ac:dyDescent="0.25">
      <c r="J56" s="10" t="s">
        <v>194</v>
      </c>
      <c r="K56" s="26">
        <v>23819</v>
      </c>
    </row>
    <row r="57" spans="2:11" x14ac:dyDescent="0.25">
      <c r="J57" s="10" t="s">
        <v>195</v>
      </c>
      <c r="K57" s="26">
        <v>4280</v>
      </c>
    </row>
    <row r="58" spans="2:11" x14ac:dyDescent="0.25">
      <c r="J58" s="10" t="s">
        <v>196</v>
      </c>
      <c r="K58" s="26">
        <v>18083</v>
      </c>
    </row>
    <row r="59" spans="2:11" x14ac:dyDescent="0.25">
      <c r="J59" s="10" t="s">
        <v>197</v>
      </c>
      <c r="K59" s="26">
        <v>22615</v>
      </c>
    </row>
    <row r="60" spans="2:11" x14ac:dyDescent="0.25">
      <c r="J60" s="10" t="s">
        <v>198</v>
      </c>
      <c r="K60" s="26">
        <v>16811</v>
      </c>
    </row>
    <row r="61" spans="2:11" x14ac:dyDescent="0.25">
      <c r="J61" s="10" t="s">
        <v>199</v>
      </c>
      <c r="K61" s="26">
        <v>12859</v>
      </c>
    </row>
    <row r="62" spans="2:11" x14ac:dyDescent="0.25">
      <c r="J62" s="10" t="s">
        <v>200</v>
      </c>
      <c r="K62" s="26">
        <v>9025</v>
      </c>
    </row>
    <row r="63" spans="2:11" x14ac:dyDescent="0.25">
      <c r="J63" s="10" t="s">
        <v>201</v>
      </c>
      <c r="K63" s="26">
        <v>27125</v>
      </c>
    </row>
    <row r="64" spans="2:11" x14ac:dyDescent="0.25">
      <c r="J64" s="10" t="s">
        <v>202</v>
      </c>
      <c r="K64" s="26">
        <v>4910</v>
      </c>
    </row>
    <row r="65" spans="10:11" x14ac:dyDescent="0.25">
      <c r="J65" s="10" t="s">
        <v>203</v>
      </c>
      <c r="K65" s="26">
        <v>13768</v>
      </c>
    </row>
    <row r="66" spans="10:11" x14ac:dyDescent="0.25">
      <c r="J66" s="10" t="s">
        <v>204</v>
      </c>
      <c r="K66" s="26">
        <v>28518</v>
      </c>
    </row>
    <row r="67" spans="10:11" x14ac:dyDescent="0.25">
      <c r="J67" s="10" t="s">
        <v>205</v>
      </c>
      <c r="K67" s="26">
        <v>24630</v>
      </c>
    </row>
    <row r="68" spans="10:11" x14ac:dyDescent="0.25">
      <c r="J68" s="10" t="s">
        <v>206</v>
      </c>
      <c r="K68" s="26">
        <v>5943</v>
      </c>
    </row>
    <row r="69" spans="10:11" x14ac:dyDescent="0.25">
      <c r="J69" s="10" t="s">
        <v>207</v>
      </c>
      <c r="K69" s="26">
        <v>12216</v>
      </c>
    </row>
    <row r="70" spans="10:11" x14ac:dyDescent="0.25">
      <c r="J70" s="10" t="s">
        <v>208</v>
      </c>
      <c r="K70" s="26">
        <v>22306</v>
      </c>
    </row>
    <row r="71" spans="10:11" x14ac:dyDescent="0.25">
      <c r="J71" s="10" t="s">
        <v>209</v>
      </c>
      <c r="K71" s="26">
        <v>17746</v>
      </c>
    </row>
    <row r="72" spans="10:11" x14ac:dyDescent="0.25">
      <c r="J72" s="10" t="s">
        <v>210</v>
      </c>
      <c r="K72" s="26">
        <v>17314</v>
      </c>
    </row>
    <row r="73" spans="10:11" x14ac:dyDescent="0.25">
      <c r="J73" s="10" t="s">
        <v>211</v>
      </c>
      <c r="K73" s="26">
        <v>26570</v>
      </c>
    </row>
    <row r="74" spans="10:11" x14ac:dyDescent="0.25">
      <c r="J74" s="10" t="s">
        <v>212</v>
      </c>
      <c r="K74" s="26">
        <v>18440</v>
      </c>
    </row>
    <row r="75" spans="10:11" x14ac:dyDescent="0.25">
      <c r="J75" s="10" t="s">
        <v>213</v>
      </c>
      <c r="K75" s="26">
        <v>18052</v>
      </c>
    </row>
    <row r="76" spans="10:11" x14ac:dyDescent="0.25">
      <c r="J76" s="10" t="s">
        <v>214</v>
      </c>
      <c r="K76" s="26">
        <v>27796</v>
      </c>
    </row>
    <row r="77" spans="10:11" x14ac:dyDescent="0.25">
      <c r="J77" s="10" t="s">
        <v>215</v>
      </c>
      <c r="K77" s="26">
        <v>21524</v>
      </c>
    </row>
    <row r="78" spans="10:11" x14ac:dyDescent="0.25">
      <c r="J78" s="10" t="s">
        <v>216</v>
      </c>
      <c r="K78" s="26">
        <v>17658</v>
      </c>
    </row>
    <row r="79" spans="10:11" x14ac:dyDescent="0.25">
      <c r="J79" s="10" t="s">
        <v>217</v>
      </c>
      <c r="K79" s="26">
        <v>16751</v>
      </c>
    </row>
    <row r="80" spans="10:11" x14ac:dyDescent="0.25">
      <c r="J80" s="10" t="s">
        <v>218</v>
      </c>
      <c r="K80" s="26">
        <v>5069</v>
      </c>
    </row>
    <row r="81" spans="10:11" x14ac:dyDescent="0.25">
      <c r="J81" s="10" t="s">
        <v>219</v>
      </c>
      <c r="K81" s="26">
        <v>29735</v>
      </c>
    </row>
    <row r="82" spans="10:11" x14ac:dyDescent="0.25">
      <c r="J82" s="10" t="s">
        <v>220</v>
      </c>
      <c r="K82" s="26">
        <v>15491</v>
      </c>
    </row>
    <row r="83" spans="10:11" x14ac:dyDescent="0.25">
      <c r="J83" s="10" t="s">
        <v>221</v>
      </c>
      <c r="K83" s="26">
        <v>28106</v>
      </c>
    </row>
    <row r="84" spans="10:11" x14ac:dyDescent="0.25">
      <c r="J84" s="10" t="s">
        <v>222</v>
      </c>
      <c r="K84" s="26">
        <v>23089</v>
      </c>
    </row>
    <row r="85" spans="10:11" x14ac:dyDescent="0.25">
      <c r="J85" s="10" t="s">
        <v>223</v>
      </c>
      <c r="K85" s="26">
        <v>20026</v>
      </c>
    </row>
    <row r="86" spans="10:11" x14ac:dyDescent="0.25">
      <c r="J86" s="10" t="s">
        <v>224</v>
      </c>
      <c r="K86" s="26">
        <v>3988</v>
      </c>
    </row>
    <row r="87" spans="10:11" x14ac:dyDescent="0.25">
      <c r="J87" s="10" t="s">
        <v>225</v>
      </c>
      <c r="K87" s="26">
        <v>9205</v>
      </c>
    </row>
    <row r="88" spans="10:11" x14ac:dyDescent="0.25">
      <c r="J88" s="10" t="s">
        <v>226</v>
      </c>
      <c r="K88" s="26">
        <v>28902</v>
      </c>
    </row>
    <row r="89" spans="10:11" x14ac:dyDescent="0.25">
      <c r="J89" s="10" t="s">
        <v>227</v>
      </c>
      <c r="K89" s="26">
        <v>17678</v>
      </c>
    </row>
    <row r="90" spans="10:11" x14ac:dyDescent="0.25">
      <c r="J90" s="10" t="s">
        <v>228</v>
      </c>
      <c r="K90" s="26">
        <v>26496</v>
      </c>
    </row>
    <row r="91" spans="10:11" x14ac:dyDescent="0.25">
      <c r="J91" s="10" t="s">
        <v>229</v>
      </c>
      <c r="K91" s="26">
        <v>6369</v>
      </c>
    </row>
    <row r="92" spans="10:11" x14ac:dyDescent="0.25">
      <c r="J92" s="10" t="s">
        <v>230</v>
      </c>
      <c r="K92" s="26">
        <v>17004</v>
      </c>
    </row>
    <row r="93" spans="10:11" x14ac:dyDescent="0.25">
      <c r="J93" s="10" t="s">
        <v>231</v>
      </c>
      <c r="K93" s="26">
        <v>5148</v>
      </c>
    </row>
    <row r="94" spans="10:11" x14ac:dyDescent="0.25">
      <c r="J94" s="10" t="s">
        <v>232</v>
      </c>
      <c r="K94" s="26">
        <v>5919</v>
      </c>
    </row>
    <row r="95" spans="10:11" x14ac:dyDescent="0.25">
      <c r="J95" s="10" t="s">
        <v>233</v>
      </c>
      <c r="K95" s="26">
        <v>12848</v>
      </c>
    </row>
    <row r="96" spans="10:11" x14ac:dyDescent="0.25">
      <c r="J96" s="10" t="s">
        <v>234</v>
      </c>
      <c r="K96" s="26">
        <v>12268</v>
      </c>
    </row>
    <row r="97" spans="10:11" x14ac:dyDescent="0.25">
      <c r="J97" s="10" t="s">
        <v>235</v>
      </c>
      <c r="K97" s="26">
        <v>26582</v>
      </c>
    </row>
    <row r="98" spans="10:11" x14ac:dyDescent="0.25">
      <c r="J98" s="10" t="s">
        <v>236</v>
      </c>
      <c r="K98" s="26">
        <v>16473</v>
      </c>
    </row>
    <row r="99" spans="10:11" x14ac:dyDescent="0.25">
      <c r="J99" s="10" t="s">
        <v>237</v>
      </c>
      <c r="K99" s="26">
        <v>25437</v>
      </c>
    </row>
    <row r="100" spans="10:11" x14ac:dyDescent="0.25">
      <c r="J100" s="10" t="s">
        <v>238</v>
      </c>
      <c r="K100" s="26">
        <v>6512</v>
      </c>
    </row>
    <row r="101" spans="10:11" x14ac:dyDescent="0.25">
      <c r="J101" s="10" t="s">
        <v>239</v>
      </c>
      <c r="K101" s="26">
        <v>13717</v>
      </c>
    </row>
    <row r="102" spans="10:11" x14ac:dyDescent="0.25">
      <c r="J102" s="10" t="s">
        <v>240</v>
      </c>
      <c r="K102" s="26">
        <v>16696</v>
      </c>
    </row>
    <row r="103" spans="10:11" x14ac:dyDescent="0.25">
      <c r="J103" s="10" t="s">
        <v>241</v>
      </c>
      <c r="K103" s="26">
        <v>16152</v>
      </c>
    </row>
    <row r="104" spans="10:11" x14ac:dyDescent="0.25">
      <c r="J104" s="10" t="s">
        <v>242</v>
      </c>
      <c r="K104" s="26">
        <v>23879</v>
      </c>
    </row>
    <row r="105" spans="10:11" x14ac:dyDescent="0.25">
      <c r="J105" s="10" t="s">
        <v>243</v>
      </c>
      <c r="K105" s="26">
        <v>19812</v>
      </c>
    </row>
    <row r="106" spans="10:11" x14ac:dyDescent="0.25">
      <c r="J106" s="10" t="s">
        <v>244</v>
      </c>
      <c r="K106" s="26">
        <v>28689</v>
      </c>
    </row>
    <row r="107" spans="10:11" x14ac:dyDescent="0.25">
      <c r="J107" s="10" t="s">
        <v>245</v>
      </c>
      <c r="K107" s="26">
        <v>22720</v>
      </c>
    </row>
    <row r="108" spans="10:11" x14ac:dyDescent="0.25">
      <c r="J108" s="10" t="s">
        <v>246</v>
      </c>
      <c r="K108" s="26">
        <v>21070</v>
      </c>
    </row>
    <row r="109" spans="10:11" x14ac:dyDescent="0.25">
      <c r="J109" s="10" t="s">
        <v>247</v>
      </c>
      <c r="K109" s="26">
        <v>5006</v>
      </c>
    </row>
    <row r="110" spans="10:11" x14ac:dyDescent="0.25">
      <c r="J110" s="10" t="s">
        <v>248</v>
      </c>
      <c r="K110" s="26">
        <v>3008</v>
      </c>
    </row>
    <row r="111" spans="10:11" x14ac:dyDescent="0.25">
      <c r="J111" s="10" t="s">
        <v>249</v>
      </c>
      <c r="K111" s="26">
        <v>16731</v>
      </c>
    </row>
    <row r="112" spans="10:11" x14ac:dyDescent="0.25">
      <c r="J112" s="10" t="s">
        <v>250</v>
      </c>
      <c r="K112" s="26">
        <v>25721</v>
      </c>
    </row>
    <row r="113" spans="10:11" x14ac:dyDescent="0.25">
      <c r="J113" s="10" t="s">
        <v>251</v>
      </c>
      <c r="K113" s="26">
        <v>12746</v>
      </c>
    </row>
    <row r="114" spans="10:11" x14ac:dyDescent="0.25">
      <c r="J114" s="10" t="s">
        <v>252</v>
      </c>
      <c r="K114" s="26">
        <v>17130</v>
      </c>
    </row>
    <row r="115" spans="10:11" x14ac:dyDescent="0.25">
      <c r="J115" s="10" t="s">
        <v>253</v>
      </c>
      <c r="K115" s="26">
        <v>19263</v>
      </c>
    </row>
    <row r="116" spans="10:11" x14ac:dyDescent="0.25">
      <c r="J116" s="10" t="s">
        <v>254</v>
      </c>
      <c r="K116" s="26">
        <v>19662</v>
      </c>
    </row>
    <row r="117" spans="10:11" x14ac:dyDescent="0.25">
      <c r="J117" s="10" t="s">
        <v>255</v>
      </c>
      <c r="K117" s="26">
        <v>25528</v>
      </c>
    </row>
    <row r="118" spans="10:11" x14ac:dyDescent="0.25">
      <c r="J118" s="10" t="s">
        <v>256</v>
      </c>
      <c r="K118" s="26">
        <v>5348</v>
      </c>
    </row>
    <row r="119" spans="10:11" x14ac:dyDescent="0.25">
      <c r="J119" s="10" t="s">
        <v>257</v>
      </c>
      <c r="K119" s="26">
        <v>22285</v>
      </c>
    </row>
    <row r="120" spans="10:11" x14ac:dyDescent="0.25">
      <c r="J120" s="10" t="s">
        <v>258</v>
      </c>
      <c r="K120" s="26">
        <v>17832</v>
      </c>
    </row>
    <row r="121" spans="10:11" x14ac:dyDescent="0.25">
      <c r="J121" s="10" t="s">
        <v>259</v>
      </c>
      <c r="K121" s="26">
        <v>18659</v>
      </c>
    </row>
    <row r="122" spans="10:11" x14ac:dyDescent="0.25">
      <c r="J122" s="10" t="s">
        <v>260</v>
      </c>
      <c r="K122" s="26">
        <v>8814</v>
      </c>
    </row>
    <row r="123" spans="10:11" x14ac:dyDescent="0.25">
      <c r="J123" s="10" t="s">
        <v>261</v>
      </c>
      <c r="K123" s="26">
        <v>18540</v>
      </c>
    </row>
    <row r="124" spans="10:11" x14ac:dyDescent="0.25">
      <c r="J124" s="10" t="s">
        <v>262</v>
      </c>
      <c r="K124" s="26">
        <v>11682</v>
      </c>
    </row>
    <row r="125" spans="10:11" x14ac:dyDescent="0.25">
      <c r="J125" s="10" t="s">
        <v>263</v>
      </c>
      <c r="K125" s="26">
        <v>28130</v>
      </c>
    </row>
    <row r="126" spans="10:11" x14ac:dyDescent="0.25">
      <c r="J126" s="10" t="s">
        <v>264</v>
      </c>
      <c r="K126" s="26">
        <v>12219</v>
      </c>
    </row>
    <row r="127" spans="10:11" x14ac:dyDescent="0.25">
      <c r="J127" s="10" t="s">
        <v>265</v>
      </c>
      <c r="K127" s="26">
        <v>13169</v>
      </c>
    </row>
    <row r="128" spans="10:11" x14ac:dyDescent="0.25">
      <c r="J128" s="10" t="s">
        <v>266</v>
      </c>
      <c r="K128" s="26">
        <v>3614</v>
      </c>
    </row>
    <row r="129" spans="10:11" x14ac:dyDescent="0.25">
      <c r="J129" s="10" t="s">
        <v>267</v>
      </c>
      <c r="K129" s="26">
        <v>27189</v>
      </c>
    </row>
    <row r="130" spans="10:11" x14ac:dyDescent="0.25">
      <c r="J130" s="10" t="s">
        <v>268</v>
      </c>
      <c r="K130" s="26">
        <v>10537</v>
      </c>
    </row>
    <row r="131" spans="10:11" x14ac:dyDescent="0.25">
      <c r="J131" s="10" t="s">
        <v>269</v>
      </c>
      <c r="K131" s="26">
        <v>7848</v>
      </c>
    </row>
    <row r="132" spans="10:11" x14ac:dyDescent="0.25">
      <c r="J132" s="10" t="s">
        <v>270</v>
      </c>
      <c r="K132" s="26">
        <v>27755</v>
      </c>
    </row>
    <row r="133" spans="10:11" x14ac:dyDescent="0.25">
      <c r="J133" s="10" t="s">
        <v>271</v>
      </c>
      <c r="K133" s="26">
        <v>4181</v>
      </c>
    </row>
    <row r="134" spans="10:11" x14ac:dyDescent="0.25">
      <c r="J134" s="10" t="s">
        <v>272</v>
      </c>
      <c r="K134" s="26">
        <v>8389</v>
      </c>
    </row>
    <row r="135" spans="10:11" x14ac:dyDescent="0.25">
      <c r="J135" s="10" t="s">
        <v>273</v>
      </c>
      <c r="K135" s="26">
        <v>5296</v>
      </c>
    </row>
    <row r="136" spans="10:11" x14ac:dyDescent="0.25">
      <c r="J136" s="10" t="s">
        <v>274</v>
      </c>
      <c r="K136" s="26">
        <v>23944</v>
      </c>
    </row>
    <row r="137" spans="10:11" x14ac:dyDescent="0.25">
      <c r="J137" s="10" t="s">
        <v>275</v>
      </c>
      <c r="K137" s="26">
        <v>18898</v>
      </c>
    </row>
    <row r="138" spans="10:11" x14ac:dyDescent="0.25">
      <c r="J138" s="10" t="s">
        <v>276</v>
      </c>
      <c r="K138" s="26">
        <v>13655</v>
      </c>
    </row>
    <row r="139" spans="10:11" x14ac:dyDescent="0.25">
      <c r="J139" s="10" t="s">
        <v>277</v>
      </c>
      <c r="K139" s="26">
        <v>27432</v>
      </c>
    </row>
    <row r="140" spans="10:11" x14ac:dyDescent="0.25">
      <c r="J140" s="10" t="s">
        <v>278</v>
      </c>
      <c r="K140" s="26">
        <v>22740</v>
      </c>
    </row>
    <row r="141" spans="10:11" x14ac:dyDescent="0.25">
      <c r="J141" s="10" t="s">
        <v>279</v>
      </c>
      <c r="K141" s="26">
        <v>20494</v>
      </c>
    </row>
    <row r="142" spans="10:11" x14ac:dyDescent="0.25">
      <c r="J142" s="10" t="s">
        <v>280</v>
      </c>
      <c r="K142" s="26">
        <v>4689</v>
      </c>
    </row>
    <row r="143" spans="10:11" x14ac:dyDescent="0.25">
      <c r="J143" s="10" t="s">
        <v>281</v>
      </c>
      <c r="K143" s="26">
        <v>7805</v>
      </c>
    </row>
    <row r="144" spans="10:11" x14ac:dyDescent="0.25">
      <c r="J144" s="10" t="s">
        <v>282</v>
      </c>
      <c r="K144" s="26">
        <v>29035</v>
      </c>
    </row>
    <row r="145" spans="10:11" x14ac:dyDescent="0.25">
      <c r="J145" s="10" t="s">
        <v>283</v>
      </c>
      <c r="K145" s="26">
        <v>28977</v>
      </c>
    </row>
    <row r="146" spans="10:11" x14ac:dyDescent="0.25">
      <c r="J146" s="10" t="s">
        <v>284</v>
      </c>
      <c r="K146" s="26">
        <v>22701</v>
      </c>
    </row>
    <row r="147" spans="10:11" x14ac:dyDescent="0.25">
      <c r="J147" s="10" t="s">
        <v>285</v>
      </c>
      <c r="K147" s="26">
        <v>19348</v>
      </c>
    </row>
    <row r="148" spans="10:11" x14ac:dyDescent="0.25">
      <c r="J148" s="10" t="s">
        <v>286</v>
      </c>
      <c r="K148" s="26">
        <v>17249</v>
      </c>
    </row>
    <row r="149" spans="10:11" x14ac:dyDescent="0.25">
      <c r="J149" s="10" t="s">
        <v>287</v>
      </c>
      <c r="K149" s="26">
        <v>11825</v>
      </c>
    </row>
    <row r="150" spans="10:11" x14ac:dyDescent="0.25">
      <c r="J150" s="10" t="s">
        <v>288</v>
      </c>
      <c r="K150" s="26">
        <v>17610</v>
      </c>
    </row>
    <row r="151" spans="10:11" x14ac:dyDescent="0.25">
      <c r="J151" s="10" t="s">
        <v>289</v>
      </c>
      <c r="K151" s="26">
        <v>13456</v>
      </c>
    </row>
    <row r="152" spans="10:11" x14ac:dyDescent="0.25">
      <c r="J152" s="10" t="s">
        <v>290</v>
      </c>
      <c r="K152" s="26">
        <v>21343</v>
      </c>
    </row>
    <row r="153" spans="10:11" x14ac:dyDescent="0.25">
      <c r="J153" s="10" t="s">
        <v>291</v>
      </c>
      <c r="K153" s="26">
        <v>16315</v>
      </c>
    </row>
    <row r="154" spans="10:11" x14ac:dyDescent="0.25">
      <c r="J154" s="10" t="s">
        <v>292</v>
      </c>
      <c r="K154" s="26">
        <v>21957</v>
      </c>
    </row>
    <row r="155" spans="10:11" x14ac:dyDescent="0.25">
      <c r="J155" s="10" t="s">
        <v>293</v>
      </c>
      <c r="K155" s="26">
        <v>7509</v>
      </c>
    </row>
    <row r="156" spans="10:11" x14ac:dyDescent="0.25">
      <c r="J156" s="10" t="s">
        <v>294</v>
      </c>
      <c r="K156" s="26">
        <v>28336</v>
      </c>
    </row>
    <row r="157" spans="10:11" x14ac:dyDescent="0.25">
      <c r="J157" s="10" t="s">
        <v>295</v>
      </c>
      <c r="K157" s="26">
        <v>7967</v>
      </c>
    </row>
    <row r="158" spans="10:11" x14ac:dyDescent="0.25">
      <c r="J158" s="10" t="s">
        <v>296</v>
      </c>
      <c r="K158" s="26">
        <v>9266</v>
      </c>
    </row>
    <row r="159" spans="10:11" x14ac:dyDescent="0.25">
      <c r="J159" s="10" t="s">
        <v>297</v>
      </c>
      <c r="K159" s="26">
        <v>18541</v>
      </c>
    </row>
    <row r="160" spans="10:11" x14ac:dyDescent="0.25">
      <c r="J160" s="10" t="s">
        <v>298</v>
      </c>
      <c r="K160" s="26">
        <v>12290</v>
      </c>
    </row>
    <row r="161" spans="10:11" x14ac:dyDescent="0.25">
      <c r="J161" s="10" t="s">
        <v>299</v>
      </c>
      <c r="K161" s="26">
        <v>29811</v>
      </c>
    </row>
    <row r="162" spans="10:11" x14ac:dyDescent="0.25">
      <c r="J162" s="10" t="s">
        <v>300</v>
      </c>
      <c r="K162" s="26">
        <v>3743</v>
      </c>
    </row>
    <row r="163" spans="10:11" x14ac:dyDescent="0.25">
      <c r="J163" s="10" t="s">
        <v>301</v>
      </c>
      <c r="K163" s="26">
        <v>12655</v>
      </c>
    </row>
    <row r="164" spans="10:11" x14ac:dyDescent="0.25">
      <c r="J164" s="10" t="s">
        <v>302</v>
      </c>
      <c r="K164" s="26">
        <v>19492</v>
      </c>
    </row>
    <row r="165" spans="10:11" x14ac:dyDescent="0.25">
      <c r="J165" s="10" t="s">
        <v>303</v>
      </c>
      <c r="K165" s="26">
        <v>23823</v>
      </c>
    </row>
    <row r="166" spans="10:11" x14ac:dyDescent="0.25">
      <c r="J166" s="10" t="s">
        <v>304</v>
      </c>
      <c r="K166" s="26">
        <v>12233</v>
      </c>
    </row>
    <row r="167" spans="10:11" x14ac:dyDescent="0.25">
      <c r="J167" s="10" t="s">
        <v>305</v>
      </c>
      <c r="K167" s="26">
        <v>3003</v>
      </c>
    </row>
    <row r="168" spans="10:11" x14ac:dyDescent="0.25">
      <c r="J168" s="10" t="s">
        <v>306</v>
      </c>
      <c r="K168" s="26">
        <v>21525</v>
      </c>
    </row>
    <row r="169" spans="10:11" x14ac:dyDescent="0.25">
      <c r="J169" s="10" t="s">
        <v>307</v>
      </c>
      <c r="K169" s="26">
        <v>21312</v>
      </c>
    </row>
    <row r="170" spans="10:11" x14ac:dyDescent="0.25">
      <c r="J170" s="10" t="s">
        <v>308</v>
      </c>
      <c r="K170" s="26">
        <v>8413</v>
      </c>
    </row>
    <row r="171" spans="10:11" x14ac:dyDescent="0.25">
      <c r="J171" s="10" t="s">
        <v>309</v>
      </c>
      <c r="K171" s="26">
        <v>4693</v>
      </c>
    </row>
    <row r="172" spans="10:11" x14ac:dyDescent="0.25">
      <c r="J172" s="10" t="s">
        <v>310</v>
      </c>
      <c r="K172" s="26">
        <v>24941</v>
      </c>
    </row>
    <row r="173" spans="10:11" x14ac:dyDescent="0.25">
      <c r="J173" s="10" t="s">
        <v>311</v>
      </c>
      <c r="K173" s="26">
        <v>22511</v>
      </c>
    </row>
    <row r="174" spans="10:11" x14ac:dyDescent="0.25">
      <c r="J174" s="10" t="s">
        <v>312</v>
      </c>
      <c r="K174" s="26">
        <v>13946</v>
      </c>
    </row>
    <row r="175" spans="10:11" x14ac:dyDescent="0.25">
      <c r="J175" s="10" t="s">
        <v>313</v>
      </c>
      <c r="K175" s="26">
        <v>21242</v>
      </c>
    </row>
    <row r="176" spans="10:11" x14ac:dyDescent="0.25">
      <c r="J176" s="10" t="s">
        <v>314</v>
      </c>
      <c r="K176" s="26">
        <v>22822</v>
      </c>
    </row>
    <row r="177" spans="10:11" x14ac:dyDescent="0.25">
      <c r="J177" s="10" t="s">
        <v>315</v>
      </c>
      <c r="K177" s="26">
        <v>14825</v>
      </c>
    </row>
    <row r="178" spans="10:11" x14ac:dyDescent="0.25">
      <c r="J178" s="10" t="s">
        <v>316</v>
      </c>
      <c r="K178" s="26">
        <v>10106</v>
      </c>
    </row>
    <row r="179" spans="10:11" x14ac:dyDescent="0.25">
      <c r="J179" s="10" t="s">
        <v>317</v>
      </c>
      <c r="K179" s="26">
        <v>24181</v>
      </c>
    </row>
    <row r="180" spans="10:11" x14ac:dyDescent="0.25">
      <c r="J180" s="10" t="s">
        <v>318</v>
      </c>
      <c r="K180" s="26">
        <v>8789</v>
      </c>
    </row>
    <row r="181" spans="10:11" x14ac:dyDescent="0.25">
      <c r="J181" s="10" t="s">
        <v>319</v>
      </c>
      <c r="K181" s="26">
        <v>17609</v>
      </c>
    </row>
    <row r="182" spans="10:11" x14ac:dyDescent="0.25">
      <c r="J182" s="10" t="s">
        <v>320</v>
      </c>
      <c r="K182" s="26">
        <v>12827</v>
      </c>
    </row>
    <row r="183" spans="10:11" x14ac:dyDescent="0.25">
      <c r="J183" s="10" t="s">
        <v>321</v>
      </c>
      <c r="K183" s="26">
        <v>7741</v>
      </c>
    </row>
    <row r="184" spans="10:11" x14ac:dyDescent="0.25">
      <c r="J184" s="10" t="s">
        <v>322</v>
      </c>
      <c r="K184" s="26">
        <v>27959</v>
      </c>
    </row>
    <row r="185" spans="10:11" x14ac:dyDescent="0.25">
      <c r="J185" s="10" t="s">
        <v>323</v>
      </c>
      <c r="K185" s="26">
        <v>9260</v>
      </c>
    </row>
    <row r="186" spans="10:11" x14ac:dyDescent="0.25">
      <c r="J186" s="10" t="s">
        <v>324</v>
      </c>
      <c r="K186" s="26">
        <v>23426</v>
      </c>
    </row>
    <row r="187" spans="10:11" x14ac:dyDescent="0.25">
      <c r="J187" s="10" t="s">
        <v>325</v>
      </c>
      <c r="K187" s="26">
        <v>9672</v>
      </c>
    </row>
    <row r="188" spans="10:11" x14ac:dyDescent="0.25">
      <c r="J188" s="10" t="s">
        <v>326</v>
      </c>
      <c r="K188" s="26">
        <v>15655</v>
      </c>
    </row>
    <row r="189" spans="10:11" x14ac:dyDescent="0.25">
      <c r="J189" s="10" t="s">
        <v>327</v>
      </c>
      <c r="K189" s="26">
        <v>4896</v>
      </c>
    </row>
    <row r="190" spans="10:11" x14ac:dyDescent="0.25">
      <c r="J190" s="10" t="s">
        <v>328</v>
      </c>
      <c r="K190" s="26">
        <v>26624</v>
      </c>
    </row>
    <row r="191" spans="10:11" x14ac:dyDescent="0.25">
      <c r="J191" s="10" t="s">
        <v>329</v>
      </c>
      <c r="K191" s="26">
        <v>12390</v>
      </c>
    </row>
    <row r="192" spans="10:11" x14ac:dyDescent="0.25">
      <c r="J192" s="10" t="s">
        <v>330</v>
      </c>
      <c r="K192" s="26">
        <v>16540</v>
      </c>
    </row>
    <row r="193" spans="10:11" x14ac:dyDescent="0.25">
      <c r="J193" s="10" t="s">
        <v>331</v>
      </c>
      <c r="K193" s="26">
        <v>10981</v>
      </c>
    </row>
    <row r="194" spans="10:11" x14ac:dyDescent="0.25">
      <c r="J194" s="10" t="s">
        <v>332</v>
      </c>
      <c r="K194" s="26">
        <v>11754</v>
      </c>
    </row>
    <row r="195" spans="10:11" x14ac:dyDescent="0.25">
      <c r="J195" s="10" t="s">
        <v>333</v>
      </c>
      <c r="K195" s="26">
        <v>19787</v>
      </c>
    </row>
    <row r="196" spans="10:11" x14ac:dyDescent="0.25">
      <c r="J196" s="10" t="s">
        <v>334</v>
      </c>
      <c r="K196" s="26">
        <v>7183</v>
      </c>
    </row>
    <row r="197" spans="10:11" x14ac:dyDescent="0.25">
      <c r="J197" s="10" t="s">
        <v>335</v>
      </c>
      <c r="K197" s="26">
        <v>9341</v>
      </c>
    </row>
    <row r="198" spans="10:11" x14ac:dyDescent="0.25">
      <c r="J198" s="10" t="s">
        <v>336</v>
      </c>
      <c r="K198" s="26">
        <v>17968</v>
      </c>
    </row>
    <row r="199" spans="10:11" x14ac:dyDescent="0.25">
      <c r="J199" s="10" t="s">
        <v>337</v>
      </c>
      <c r="K199" s="26">
        <v>13825</v>
      </c>
    </row>
    <row r="200" spans="10:11" x14ac:dyDescent="0.25">
      <c r="J200" s="10" t="s">
        <v>338</v>
      </c>
      <c r="K200" s="26">
        <v>12841</v>
      </c>
    </row>
    <row r="201" spans="10:11" x14ac:dyDescent="0.25">
      <c r="J201" s="10" t="s">
        <v>339</v>
      </c>
      <c r="K201" s="26">
        <v>15573</v>
      </c>
    </row>
    <row r="202" spans="10:11" x14ac:dyDescent="0.25">
      <c r="J202" s="10" t="s">
        <v>340</v>
      </c>
      <c r="K202" s="26">
        <v>14137</v>
      </c>
    </row>
    <row r="203" spans="10:11" x14ac:dyDescent="0.25">
      <c r="J203" s="10" t="s">
        <v>341</v>
      </c>
      <c r="K203" s="26">
        <v>10389</v>
      </c>
    </row>
    <row r="204" spans="10:11" x14ac:dyDescent="0.25">
      <c r="J204" s="10" t="s">
        <v>342</v>
      </c>
      <c r="K204" s="26">
        <v>17123</v>
      </c>
    </row>
    <row r="205" spans="10:11" x14ac:dyDescent="0.25">
      <c r="J205" s="10" t="s">
        <v>343</v>
      </c>
      <c r="K205" s="26">
        <v>23457</v>
      </c>
    </row>
    <row r="206" spans="10:11" x14ac:dyDescent="0.25">
      <c r="J206" s="10" t="s">
        <v>344</v>
      </c>
      <c r="K206" s="26">
        <v>12542</v>
      </c>
    </row>
    <row r="207" spans="10:11" x14ac:dyDescent="0.25">
      <c r="J207" s="10" t="s">
        <v>345</v>
      </c>
      <c r="K207" s="26">
        <v>11297</v>
      </c>
    </row>
    <row r="208" spans="10:11" x14ac:dyDescent="0.25">
      <c r="J208" s="10" t="s">
        <v>346</v>
      </c>
      <c r="K208" s="26">
        <v>20988</v>
      </c>
    </row>
    <row r="209" spans="10:11" x14ac:dyDescent="0.25">
      <c r="J209" s="10" t="s">
        <v>347</v>
      </c>
      <c r="K209" s="26">
        <v>22125</v>
      </c>
    </row>
    <row r="210" spans="10:11" x14ac:dyDescent="0.25">
      <c r="J210" s="10" t="s">
        <v>348</v>
      </c>
      <c r="K210" s="26">
        <v>24547</v>
      </c>
    </row>
    <row r="211" spans="10:11" x14ac:dyDescent="0.25">
      <c r="J211" s="10" t="s">
        <v>349</v>
      </c>
      <c r="K211" s="26">
        <v>24450</v>
      </c>
    </row>
    <row r="212" spans="10:11" x14ac:dyDescent="0.25">
      <c r="J212" s="10" t="s">
        <v>350</v>
      </c>
      <c r="K212" s="26">
        <v>6284</v>
      </c>
    </row>
    <row r="213" spans="10:11" x14ac:dyDescent="0.25">
      <c r="J213" s="10" t="s">
        <v>351</v>
      </c>
      <c r="K213" s="26">
        <v>12554</v>
      </c>
    </row>
    <row r="214" spans="10:11" x14ac:dyDescent="0.25">
      <c r="J214" s="10" t="s">
        <v>352</v>
      </c>
      <c r="K214" s="26">
        <v>3970</v>
      </c>
    </row>
    <row r="215" spans="10:11" x14ac:dyDescent="0.25">
      <c r="J215" s="10" t="s">
        <v>353</v>
      </c>
      <c r="K215" s="26">
        <v>7069</v>
      </c>
    </row>
    <row r="216" spans="10:11" x14ac:dyDescent="0.25">
      <c r="J216" s="10" t="s">
        <v>354</v>
      </c>
      <c r="K216" s="26">
        <v>17934</v>
      </c>
    </row>
    <row r="217" spans="10:11" x14ac:dyDescent="0.25">
      <c r="J217" s="10" t="s">
        <v>355</v>
      </c>
      <c r="K217" s="26">
        <v>6437</v>
      </c>
    </row>
    <row r="218" spans="10:11" x14ac:dyDescent="0.25">
      <c r="J218" s="10" t="s">
        <v>139</v>
      </c>
      <c r="K218" s="26">
        <v>3235200</v>
      </c>
    </row>
  </sheetData>
  <mergeCells count="8">
    <mergeCell ref="J1:K1"/>
    <mergeCell ref="J15:L15"/>
    <mergeCell ref="A31:C31"/>
    <mergeCell ref="E31:G31"/>
    <mergeCell ref="A15:D15"/>
    <mergeCell ref="A1:B1"/>
    <mergeCell ref="D1:E1"/>
    <mergeCell ref="G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AFE80-5373-426A-856E-75CC0BB8FB79}">
  <dimension ref="A1:T20"/>
  <sheetViews>
    <sheetView topLeftCell="A34" workbookViewId="0">
      <selection activeCell="A39" sqref="A39"/>
    </sheetView>
  </sheetViews>
  <sheetFormatPr defaultRowHeight="15" x14ac:dyDescent="0.25"/>
  <sheetData>
    <row r="1" spans="1:19" x14ac:dyDescent="0.25">
      <c r="A1" s="24" t="s">
        <v>361</v>
      </c>
      <c r="B1" s="24"/>
      <c r="C1" s="24"/>
      <c r="D1" s="24"/>
      <c r="H1" s="24" t="s">
        <v>362</v>
      </c>
      <c r="I1" s="24"/>
      <c r="J1" s="24"/>
      <c r="K1" s="24"/>
      <c r="L1" s="24"/>
      <c r="M1" s="24"/>
      <c r="P1" s="24" t="s">
        <v>364</v>
      </c>
      <c r="Q1" s="24"/>
      <c r="R1" s="24"/>
      <c r="S1" s="24"/>
    </row>
    <row r="20" spans="1:20" x14ac:dyDescent="0.25">
      <c r="A20" s="24" t="s">
        <v>375</v>
      </c>
      <c r="B20" s="24"/>
      <c r="C20" s="24"/>
      <c r="D20" s="24"/>
      <c r="E20" s="24"/>
      <c r="F20" s="24"/>
      <c r="I20" s="24" t="s">
        <v>378</v>
      </c>
      <c r="J20" s="24"/>
      <c r="K20" s="24"/>
      <c r="L20" s="24"/>
      <c r="M20" s="24"/>
      <c r="Q20" s="24" t="s">
        <v>379</v>
      </c>
      <c r="R20" s="24"/>
      <c r="S20" s="24"/>
      <c r="T20" s="24"/>
    </row>
  </sheetData>
  <mergeCells count="6">
    <mergeCell ref="A1:D1"/>
    <mergeCell ref="H1:M1"/>
    <mergeCell ref="P1:S1"/>
    <mergeCell ref="A20:F20"/>
    <mergeCell ref="I20:M20"/>
    <mergeCell ref="Q20:T2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9F28-6C9A-4C5B-ADEE-622C915D9A31}">
  <dimension ref="A1"/>
  <sheetViews>
    <sheetView showGridLines="0" tabSelected="1" zoomScale="80" zoomScaleNormal="80" workbookViewId="0">
      <selection activeCell="Z6" sqref="Z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9D948-D8F4-47AD-973D-FF663E32EB72}">
  <dimension ref="A1"/>
  <sheetViews>
    <sheetView showGridLines="0" workbookViewId="0">
      <selection activeCell="U12" sqref="U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694A8-8C40-46CF-A35D-932CB31B8601}">
  <dimension ref="A1:T24"/>
  <sheetViews>
    <sheetView showGridLines="0" workbookViewId="0">
      <selection activeCell="K21" sqref="K21"/>
    </sheetView>
  </sheetViews>
  <sheetFormatPr defaultRowHeight="15" x14ac:dyDescent="0.25"/>
  <sheetData>
    <row r="1" spans="1:10" x14ac:dyDescent="0.25">
      <c r="A1" s="21"/>
      <c r="B1" s="21"/>
      <c r="C1" s="21"/>
      <c r="D1" s="21"/>
      <c r="E1" s="21"/>
      <c r="F1" s="21"/>
      <c r="G1" s="21"/>
      <c r="H1" s="21"/>
      <c r="I1" s="21"/>
      <c r="J1" s="21"/>
    </row>
    <row r="2" spans="1:10" ht="18.75" x14ac:dyDescent="0.3">
      <c r="A2" s="31" t="s">
        <v>402</v>
      </c>
      <c r="B2" s="32"/>
      <c r="C2" s="32"/>
      <c r="D2" s="32"/>
      <c r="E2" s="32"/>
      <c r="F2" s="32"/>
      <c r="G2" s="32"/>
      <c r="H2" s="32"/>
      <c r="I2" s="32"/>
      <c r="J2" s="32"/>
    </row>
    <row r="3" spans="1:10" x14ac:dyDescent="0.25">
      <c r="A3" s="27" t="s">
        <v>386</v>
      </c>
    </row>
    <row r="4" spans="1:10" x14ac:dyDescent="0.25">
      <c r="A4" s="28" t="s">
        <v>387</v>
      </c>
    </row>
    <row r="5" spans="1:10" x14ac:dyDescent="0.25">
      <c r="A5" s="29" t="s">
        <v>388</v>
      </c>
    </row>
    <row r="6" spans="1:10" x14ac:dyDescent="0.25">
      <c r="A6" s="27" t="s">
        <v>389</v>
      </c>
    </row>
    <row r="7" spans="1:10" x14ac:dyDescent="0.25">
      <c r="A7" s="28" t="s">
        <v>390</v>
      </c>
    </row>
    <row r="8" spans="1:10" x14ac:dyDescent="0.25">
      <c r="A8" s="29" t="s">
        <v>391</v>
      </c>
    </row>
    <row r="9" spans="1:10" x14ac:dyDescent="0.25">
      <c r="A9" s="27" t="s">
        <v>392</v>
      </c>
    </row>
    <row r="10" spans="1:10" x14ac:dyDescent="0.25">
      <c r="A10" s="28" t="s">
        <v>393</v>
      </c>
    </row>
    <row r="11" spans="1:10" x14ac:dyDescent="0.25">
      <c r="A11" s="29" t="s">
        <v>394</v>
      </c>
    </row>
    <row r="12" spans="1:10" x14ac:dyDescent="0.25">
      <c r="A12" s="27" t="s">
        <v>395</v>
      </c>
    </row>
    <row r="13" spans="1:10" x14ac:dyDescent="0.25">
      <c r="A13" s="28" t="s">
        <v>396</v>
      </c>
    </row>
    <row r="14" spans="1:10" x14ac:dyDescent="0.25">
      <c r="A14" s="29" t="s">
        <v>397</v>
      </c>
    </row>
    <row r="15" spans="1:10" x14ac:dyDescent="0.25">
      <c r="A15" s="27" t="s">
        <v>398</v>
      </c>
    </row>
    <row r="16" spans="1:10" x14ac:dyDescent="0.25">
      <c r="A16" s="28" t="s">
        <v>399</v>
      </c>
    </row>
    <row r="17" spans="1:20" x14ac:dyDescent="0.25">
      <c r="A17" s="29" t="s">
        <v>400</v>
      </c>
    </row>
    <row r="19" spans="1:20" ht="18" x14ac:dyDescent="0.25">
      <c r="A19" s="30" t="s">
        <v>401</v>
      </c>
    </row>
    <row r="21" spans="1:20" x14ac:dyDescent="0.25">
      <c r="A21" t="s">
        <v>403</v>
      </c>
    </row>
    <row r="22" spans="1:20" x14ac:dyDescent="0.25">
      <c r="A22" t="s">
        <v>404</v>
      </c>
    </row>
    <row r="23" spans="1:20" x14ac:dyDescent="0.25">
      <c r="A23" s="21" t="s">
        <v>405</v>
      </c>
      <c r="B23" s="21"/>
      <c r="C23" s="21"/>
      <c r="D23" s="21"/>
      <c r="E23" s="21"/>
      <c r="F23" s="21"/>
      <c r="G23" s="21"/>
      <c r="H23" s="21"/>
      <c r="I23" s="21"/>
      <c r="J23" s="21"/>
      <c r="K23" s="21"/>
      <c r="L23" s="21"/>
      <c r="M23" s="21"/>
      <c r="N23" s="21"/>
      <c r="O23" s="21"/>
      <c r="P23" s="21"/>
      <c r="Q23" s="21"/>
      <c r="R23" s="21"/>
      <c r="S23" s="21"/>
      <c r="T23" s="21"/>
    </row>
    <row r="24" spans="1:20" x14ac:dyDescent="0.25">
      <c r="A24" s="21"/>
      <c r="B24" s="21"/>
      <c r="C24" s="21"/>
      <c r="D24" s="21"/>
      <c r="E24" s="21"/>
      <c r="F24" s="21"/>
      <c r="G24" s="21"/>
      <c r="H24" s="21"/>
      <c r="I24" s="21"/>
      <c r="J24" s="21"/>
      <c r="K24" s="21"/>
      <c r="L24" s="21"/>
      <c r="M24" s="21"/>
      <c r="N24" s="21"/>
      <c r="O24" s="21"/>
      <c r="P24" s="21"/>
      <c r="Q24" s="21"/>
      <c r="R24" s="21"/>
      <c r="S24" s="21"/>
      <c r="T24" s="21"/>
    </row>
  </sheetData>
  <mergeCells count="3">
    <mergeCell ref="A1:J1"/>
    <mergeCell ref="A2:J2"/>
    <mergeCell ref="A23:T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Excel_Data_Analytics_Dataset</vt:lpstr>
      <vt:lpstr> Employee_Salary</vt:lpstr>
      <vt:lpstr>Answers</vt:lpstr>
      <vt:lpstr>PivotTableSectionG</vt:lpstr>
      <vt:lpstr>Section H – Charts</vt:lpstr>
      <vt:lpstr>Section I – Dashboard</vt:lpstr>
      <vt:lpstr>DashBoard</vt:lpstr>
      <vt:lpstr>5businessinsights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aneesh m p</cp:lastModifiedBy>
  <dcterms:created xsi:type="dcterms:W3CDTF">2026-04-07T07:45:30Z</dcterms:created>
  <dcterms:modified xsi:type="dcterms:W3CDTF">2026-06-07T18:55:01Z</dcterms:modified>
</cp:coreProperties>
</file>